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ciones simple" sheetId="1" r:id="rId4"/>
    <sheet state="visible" name="Condiciones Anidadas" sheetId="2" r:id="rId5"/>
  </sheets>
  <definedNames/>
  <calcPr/>
  <extLst>
    <ext uri="GoogleSheetsCustomDataVersion2">
      <go:sheetsCustomData xmlns:go="http://customooxmlschemas.google.com/" r:id="rId6" roundtripDataChecksum="4XuNkm3YQWXtcja+LXZM7Ju1mXC/ZUpxSdMLrhQApW8="/>
    </ext>
  </extLst>
</workbook>
</file>

<file path=xl/sharedStrings.xml><?xml version="1.0" encoding="utf-8"?>
<sst xmlns="http://schemas.openxmlformats.org/spreadsheetml/2006/main" count="97" uniqueCount="97">
  <si>
    <r>
      <rPr>
        <rFont val="Calibri"/>
        <b/>
        <color rgb="FF6F471C"/>
        <sz val="20.0"/>
      </rPr>
      <t>Condiciones Simples</t>
    </r>
  </si>
  <si>
    <r>
      <rPr>
        <rFont val="Calibri"/>
        <b/>
        <color theme="1"/>
        <sz val="16.0"/>
      </rPr>
      <t>=</t>
    </r>
  </si>
  <si>
    <r>
      <rPr>
        <rFont val="Calibri"/>
        <b/>
        <color rgb="FF6F2F9F"/>
        <sz val="15.0"/>
      </rPr>
      <t>SI</t>
    </r>
    <r>
      <rPr>
        <rFont val="Calibri"/>
        <b/>
        <color theme="1"/>
        <sz val="15.0"/>
      </rPr>
      <t>(</t>
    </r>
    <r>
      <rPr>
        <rFont val="Calibri"/>
        <b/>
        <color rgb="FF006FC0"/>
        <sz val="15.0"/>
      </rPr>
      <t>CRITERIO</t>
    </r>
    <r>
      <rPr>
        <rFont val="Calibri"/>
        <b/>
        <color theme="1"/>
        <sz val="15.0"/>
      </rPr>
      <t>,</t>
    </r>
    <r>
      <rPr>
        <rFont val="Calibri"/>
        <b/>
        <color rgb="FF92D050"/>
        <sz val="15.0"/>
      </rPr>
      <t>VALOR VERDADERO</t>
    </r>
    <r>
      <rPr>
        <rFont val="Calibri"/>
        <b/>
        <color theme="1"/>
        <sz val="15.0"/>
      </rPr>
      <t>,</t>
    </r>
    <r>
      <rPr>
        <rFont val="Calibri"/>
        <b/>
        <color rgb="FFFF9900"/>
        <sz val="15.0"/>
      </rPr>
      <t>VALOR FALSO</t>
    </r>
    <r>
      <rPr>
        <rFont val="Calibri"/>
        <b/>
        <color theme="1"/>
        <sz val="15.0"/>
      </rPr>
      <t>)</t>
    </r>
  </si>
  <si>
    <r>
      <rPr>
        <rFont val="Calibri"/>
        <b/>
        <color theme="1"/>
        <sz val="16.0"/>
      </rPr>
      <t>=</t>
    </r>
  </si>
  <si>
    <r>
      <rPr>
        <rFont val="Calibri"/>
        <color rgb="FF6F2F9F"/>
        <sz val="16.0"/>
      </rPr>
      <t>SI</t>
    </r>
    <r>
      <rPr>
        <rFont val="Calibri"/>
        <color rgb="FF00AF50"/>
        <sz val="16.0"/>
      </rPr>
      <t>(</t>
    </r>
    <r>
      <rPr>
        <rFont val="Calibri"/>
        <color rgb="FF006FC0"/>
        <sz val="16.0"/>
      </rPr>
      <t>F10&gt;500</t>
    </r>
    <r>
      <rPr>
        <rFont val="Calibri"/>
        <color rgb="FF92D050"/>
        <sz val="16.0"/>
      </rPr>
      <t>,C4*2,</t>
    </r>
    <r>
      <rPr>
        <rFont val="Calibri"/>
        <color rgb="FFFF9900"/>
        <sz val="16.0"/>
      </rPr>
      <t>50</t>
    </r>
    <r>
      <rPr>
        <rFont val="Calibri"/>
        <color rgb="FF00AF50"/>
        <sz val="16.0"/>
      </rPr>
      <t>)</t>
    </r>
  </si>
  <si>
    <r>
      <rPr>
        <rFont val="Tahoma"/>
        <b/>
        <color theme="1"/>
        <sz val="11.0"/>
      </rPr>
      <t>Operadores relacionales o comparación</t>
    </r>
  </si>
  <si>
    <r>
      <rPr>
        <rFont val="Tahoma"/>
        <b/>
        <color rgb="FF006FC0"/>
        <sz val="20.0"/>
      </rPr>
      <t>&gt;</t>
    </r>
    <r>
      <rPr>
        <rFont val="Tahoma"/>
        <b/>
        <color theme="1"/>
        <sz val="20.0"/>
      </rPr>
      <t xml:space="preserve">, </t>
    </r>
    <r>
      <rPr>
        <rFont val="Tahoma"/>
        <b/>
        <color rgb="FF6F2F9F"/>
        <sz val="20.0"/>
      </rPr>
      <t>&lt;</t>
    </r>
    <r>
      <rPr>
        <rFont val="Tahoma"/>
        <b/>
        <color theme="1"/>
        <sz val="20.0"/>
      </rPr>
      <t xml:space="preserve">, </t>
    </r>
    <r>
      <rPr>
        <rFont val="Tahoma"/>
        <b/>
        <color rgb="FF00AF50"/>
        <sz val="20.0"/>
      </rPr>
      <t>=</t>
    </r>
    <r>
      <rPr>
        <rFont val="Tahoma"/>
        <b/>
        <color theme="1"/>
        <sz val="20.0"/>
      </rPr>
      <t xml:space="preserve">, </t>
    </r>
    <r>
      <rPr>
        <rFont val="Tahoma"/>
        <b/>
        <color rgb="FF978500"/>
        <sz val="20.0"/>
      </rPr>
      <t>&lt;=</t>
    </r>
    <r>
      <rPr>
        <rFont val="Tahoma"/>
        <b/>
        <color theme="1"/>
        <sz val="20.0"/>
      </rPr>
      <t xml:space="preserve">, </t>
    </r>
    <r>
      <rPr>
        <rFont val="Tahoma"/>
        <b/>
        <color rgb="FFA8422A"/>
        <sz val="20.0"/>
      </rPr>
      <t>&gt;=</t>
    </r>
  </si>
  <si>
    <r>
      <rPr>
        <rFont val="Calibri"/>
        <b/>
        <color rgb="FF006FC0"/>
        <sz val="9.0"/>
      </rPr>
      <t>Criterio</t>
    </r>
  </si>
  <si>
    <r>
      <rPr>
        <rFont val="Tahoma"/>
        <b/>
        <color theme="1"/>
        <sz val="11.0"/>
      </rPr>
      <t>EJERCICIO 1</t>
    </r>
  </si>
  <si>
    <r>
      <rPr>
        <rFont val="Verdana"/>
        <color theme="1"/>
        <sz val="11.0"/>
      </rPr>
      <t>Género</t>
    </r>
  </si>
  <si>
    <r>
      <rPr>
        <rFont val="Tahoma"/>
        <b/>
        <color theme="1"/>
        <sz val="11.0"/>
      </rPr>
      <t>EJERCICIO 2</t>
    </r>
  </si>
  <si>
    <r>
      <rPr>
        <rFont val="Verdana"/>
        <color theme="1"/>
        <sz val="11.0"/>
      </rPr>
      <t>Edad</t>
    </r>
  </si>
  <si>
    <r>
      <rPr>
        <rFont val="Calibri"/>
        <b/>
        <color rgb="FFFF6600"/>
        <sz val="9.0"/>
      </rPr>
      <t>Valor falso</t>
    </r>
  </si>
  <si>
    <r>
      <rPr>
        <rFont val="Tahoma"/>
        <b/>
        <color theme="1"/>
        <sz val="11.0"/>
      </rPr>
      <t>NOMBRE</t>
    </r>
  </si>
  <si>
    <r>
      <rPr>
        <rFont val="Tahoma"/>
        <b/>
        <color theme="1"/>
        <sz val="11.0"/>
      </rPr>
      <t>SEXO</t>
    </r>
  </si>
  <si>
    <r>
      <rPr>
        <rFont val="Tahoma"/>
        <b/>
        <color theme="1"/>
        <sz val="11.0"/>
      </rPr>
      <t>GENERO</t>
    </r>
  </si>
  <si>
    <r>
      <rPr>
        <rFont val="Tahoma"/>
        <b/>
        <color theme="1"/>
        <sz val="11.0"/>
      </rPr>
      <t>NOMBRE</t>
    </r>
  </si>
  <si>
    <r>
      <rPr>
        <rFont val="Tahoma"/>
        <b/>
        <color theme="1"/>
        <sz val="11.0"/>
      </rPr>
      <t>EDAD</t>
    </r>
  </si>
  <si>
    <r>
      <rPr>
        <rFont val="Tahoma"/>
        <b/>
        <color theme="1"/>
        <sz val="11.0"/>
      </rPr>
      <t>OBSERVACION</t>
    </r>
  </si>
  <si>
    <r>
      <rPr>
        <rFont val="Verdana"/>
        <color theme="1"/>
        <sz val="11.0"/>
      </rPr>
      <t>ORLANDO</t>
    </r>
  </si>
  <si>
    <r>
      <rPr>
        <rFont val="Verdana"/>
        <color theme="1"/>
        <sz val="11.0"/>
      </rPr>
      <t>MASCULINO</t>
    </r>
  </si>
  <si>
    <r>
      <rPr>
        <rFont val="Verdana"/>
        <color theme="1"/>
        <sz val="11.0"/>
      </rPr>
      <t>ORLANDO</t>
    </r>
  </si>
  <si>
    <r>
      <rPr>
        <rFont val="Verdana"/>
        <color theme="1"/>
        <sz val="11.0"/>
      </rPr>
      <t>VANESSA</t>
    </r>
  </si>
  <si>
    <r>
      <rPr>
        <rFont val="Verdana"/>
        <color theme="1"/>
        <sz val="11.0"/>
      </rPr>
      <t>FEMENINO</t>
    </r>
  </si>
  <si>
    <r>
      <rPr>
        <rFont val="Verdana"/>
        <color theme="1"/>
        <sz val="11.0"/>
      </rPr>
      <t>VANESSA</t>
    </r>
  </si>
  <si>
    <r>
      <rPr>
        <rFont val="Verdana"/>
        <color theme="1"/>
        <sz val="11.0"/>
      </rPr>
      <t>ROBERTO</t>
    </r>
  </si>
  <si>
    <r>
      <rPr>
        <rFont val="Verdana"/>
        <color theme="1"/>
        <sz val="11.0"/>
      </rPr>
      <t>MASCULINO</t>
    </r>
  </si>
  <si>
    <r>
      <rPr>
        <rFont val="Verdana"/>
        <color theme="1"/>
        <sz val="11.0"/>
      </rPr>
      <t>ROBERTO</t>
    </r>
  </si>
  <si>
    <r>
      <rPr>
        <rFont val="Verdana"/>
        <color theme="1"/>
        <sz val="11.0"/>
      </rPr>
      <t>FABIOLA</t>
    </r>
  </si>
  <si>
    <r>
      <rPr>
        <rFont val="Verdana"/>
        <color theme="1"/>
        <sz val="11.0"/>
      </rPr>
      <t>FEMENINO</t>
    </r>
  </si>
  <si>
    <r>
      <rPr>
        <rFont val="Verdana"/>
        <color theme="1"/>
        <sz val="11.0"/>
      </rPr>
      <t>FABIOLA</t>
    </r>
  </si>
  <si>
    <r>
      <rPr>
        <rFont val="Verdana"/>
        <color theme="1"/>
        <sz val="11.0"/>
      </rPr>
      <t>PERLA</t>
    </r>
  </si>
  <si>
    <r>
      <rPr>
        <rFont val="Verdana"/>
        <color theme="1"/>
        <sz val="11.0"/>
      </rPr>
      <t>FEMENINO</t>
    </r>
  </si>
  <si>
    <r>
      <rPr>
        <rFont val="Verdana"/>
        <color theme="1"/>
        <sz val="11.0"/>
      </rPr>
      <t>PERLA</t>
    </r>
  </si>
  <si>
    <r>
      <rPr>
        <rFont val="Verdana"/>
        <color rgb="FF000000"/>
        <sz val="10.0"/>
      </rPr>
      <t xml:space="preserve">Identificar el </t>
    </r>
    <r>
      <rPr>
        <rFont val="Tahoma"/>
        <b/>
        <color rgb="FF000000"/>
        <sz val="10.0"/>
      </rPr>
      <t xml:space="preserve">género </t>
    </r>
    <r>
      <rPr>
        <rFont val="Verdana"/>
        <color rgb="FF000000"/>
        <sz val="10.0"/>
      </rPr>
      <t xml:space="preserve">de una persona en base a su </t>
    </r>
    <r>
      <rPr>
        <rFont val="Tahoma"/>
        <b/>
        <color rgb="FF000000"/>
        <sz val="10.0"/>
      </rPr>
      <t>sexo</t>
    </r>
  </si>
  <si>
    <r>
      <rPr>
        <rFont val="Verdana"/>
        <color rgb="FF000000"/>
        <sz val="10.0"/>
      </rPr>
      <t xml:space="preserve">Identificar si una persona es </t>
    </r>
    <r>
      <rPr>
        <rFont val="Tahoma"/>
        <b/>
        <color rgb="FF000000"/>
        <sz val="10.0"/>
      </rPr>
      <t xml:space="preserve">mayor o menor de edad </t>
    </r>
    <r>
      <rPr>
        <rFont val="Verdana"/>
        <color rgb="FF000000"/>
        <sz val="10.0"/>
      </rPr>
      <t xml:space="preserve">de acuerdo a su </t>
    </r>
    <r>
      <rPr>
        <rFont val="Tahoma"/>
        <b/>
        <color rgb="FF000000"/>
        <sz val="10.0"/>
      </rPr>
      <t>edad</t>
    </r>
  </si>
  <si>
    <r>
      <rPr>
        <rFont val="Tahoma"/>
        <b/>
        <color theme="1"/>
        <sz val="11.0"/>
      </rPr>
      <t>EJERCICIO 3</t>
    </r>
  </si>
  <si>
    <r>
      <rPr>
        <rFont val="Verdana"/>
        <color theme="1"/>
        <sz val="11.0"/>
      </rPr>
      <t>Sueldo</t>
    </r>
  </si>
  <si>
    <r>
      <rPr>
        <rFont val="Tahoma"/>
        <b/>
        <color theme="1"/>
        <sz val="11.0"/>
      </rPr>
      <t>NOMBRE</t>
    </r>
  </si>
  <si>
    <r>
      <rPr>
        <rFont val="Tahoma"/>
        <b/>
        <color theme="1"/>
        <sz val="11.0"/>
      </rPr>
      <t>DIAS TRABAJADOS</t>
    </r>
  </si>
  <si>
    <r>
      <rPr>
        <rFont val="Tahoma"/>
        <b/>
        <color theme="1"/>
        <sz val="11.0"/>
      </rPr>
      <t>PAGO POR DIA</t>
    </r>
  </si>
  <si>
    <r>
      <rPr>
        <rFont val="Tahoma"/>
        <b/>
        <color theme="1"/>
        <sz val="11.0"/>
      </rPr>
      <t>SUELDO</t>
    </r>
  </si>
  <si>
    <r>
      <rPr>
        <rFont val="Verdana"/>
        <color theme="1"/>
        <sz val="11.0"/>
      </rPr>
      <t>ORLANDO</t>
    </r>
  </si>
  <si>
    <r>
      <rPr>
        <rFont val="Verdana"/>
        <color theme="1"/>
        <sz val="11.0"/>
      </rPr>
      <t>VANESSA</t>
    </r>
  </si>
  <si>
    <r>
      <rPr>
        <rFont val="Verdana"/>
        <color theme="1"/>
        <sz val="11.0"/>
      </rPr>
      <t>ROBERTO</t>
    </r>
  </si>
  <si>
    <r>
      <rPr>
        <rFont val="Verdana"/>
        <color theme="1"/>
        <sz val="11.0"/>
      </rPr>
      <t>FABIOLA</t>
    </r>
  </si>
  <si>
    <r>
      <rPr>
        <rFont val="Verdana"/>
        <color theme="1"/>
        <sz val="11.0"/>
      </rPr>
      <t>PERLA</t>
    </r>
  </si>
  <si>
    <r>
      <rPr>
        <rFont val="Tahoma"/>
        <b/>
        <color rgb="FF000000"/>
        <sz val="10.0"/>
      </rPr>
      <t xml:space="preserve">Calcular el sueldo </t>
    </r>
    <r>
      <rPr>
        <rFont val="Verdana"/>
        <color rgb="FF000000"/>
        <sz val="10.0"/>
      </rPr>
      <t xml:space="preserve">de una persona, considerando que se le da un </t>
    </r>
    <r>
      <rPr>
        <rFont val="Tahoma"/>
        <b/>
        <color rgb="FF000000"/>
        <sz val="10.0"/>
      </rPr>
      <t>bono adiciona</t>
    </r>
    <r>
      <rPr>
        <rFont val="Verdana"/>
        <color rgb="FF000000"/>
        <sz val="10.0"/>
      </rPr>
      <t xml:space="preserve">l de $ 400 pesos </t>
    </r>
    <r>
      <rPr>
        <rFont val="Tahoma"/>
        <b/>
        <color rgb="FF000000"/>
        <sz val="10.0"/>
      </rPr>
      <t>si trabajó más de 14 días</t>
    </r>
    <r>
      <rPr>
        <rFont val="Verdana"/>
        <color rgb="FF000000"/>
        <sz val="10.0"/>
      </rPr>
      <t xml:space="preserve">, en caso de no cumplir con el número de días, se </t>
    </r>
    <r>
      <rPr>
        <rFont val="Tahoma"/>
        <b/>
        <color rgb="FF000000"/>
        <sz val="10.0"/>
      </rPr>
      <t xml:space="preserve">descontarán </t>
    </r>
    <r>
      <rPr>
        <rFont val="Verdana"/>
        <color rgb="FF000000"/>
        <sz val="10.0"/>
      </rPr>
      <t>$ 100 pesos</t>
    </r>
  </si>
  <si>
    <r>
      <rPr>
        <rFont val="Calibri"/>
        <b/>
        <color rgb="FF92D050"/>
        <sz val="9.0"/>
      </rPr>
      <t>Valor verdadero</t>
    </r>
  </si>
  <si>
    <r>
      <rPr>
        <rFont val="Tahoma"/>
        <b/>
        <color theme="1"/>
        <sz val="11.0"/>
      </rPr>
      <t>EJERCICIO 4</t>
    </r>
  </si>
  <si>
    <r>
      <rPr>
        <rFont val="Verdana"/>
        <color theme="1"/>
        <sz val="11.0"/>
      </rPr>
      <t>Promedio</t>
    </r>
  </si>
  <si>
    <r>
      <rPr>
        <rFont val="Tahoma"/>
        <b/>
        <color theme="1"/>
        <sz val="11.0"/>
      </rPr>
      <t>NOMBRE</t>
    </r>
  </si>
  <si>
    <r>
      <rPr>
        <rFont val="Tahoma"/>
        <b/>
        <color theme="1"/>
        <sz val="11.0"/>
      </rPr>
      <t>ESPAÑOL</t>
    </r>
  </si>
  <si>
    <r>
      <rPr>
        <rFont val="Tahoma"/>
        <b/>
        <color theme="1"/>
        <sz val="11.0"/>
      </rPr>
      <t>MATEMATICAS</t>
    </r>
  </si>
  <si>
    <r>
      <rPr>
        <rFont val="Tahoma"/>
        <b/>
        <color theme="1"/>
        <sz val="11.0"/>
      </rPr>
      <t>HISTORIA</t>
    </r>
  </si>
  <si>
    <r>
      <rPr>
        <rFont val="Tahoma"/>
        <b/>
        <color theme="1"/>
        <sz val="11.0"/>
      </rPr>
      <t>ASISTENCIA</t>
    </r>
  </si>
  <si>
    <r>
      <rPr>
        <rFont val="Tahoma"/>
        <b/>
        <color theme="1"/>
        <sz val="11.0"/>
      </rPr>
      <t>PROMEDIO</t>
    </r>
  </si>
  <si>
    <r>
      <rPr>
        <rFont val="Verdana"/>
        <color theme="1"/>
        <sz val="11.0"/>
      </rPr>
      <t>ORLANDO</t>
    </r>
  </si>
  <si>
    <r>
      <rPr>
        <rFont val="Verdana"/>
        <color theme="1"/>
        <sz val="11.0"/>
      </rPr>
      <t>VANESSA</t>
    </r>
  </si>
  <si>
    <r>
      <rPr>
        <rFont val="Verdana"/>
        <color theme="1"/>
        <sz val="11.0"/>
      </rPr>
      <t>ROBERTO</t>
    </r>
  </si>
  <si>
    <r>
      <rPr>
        <rFont val="Verdana"/>
        <color theme="1"/>
        <sz val="11.0"/>
      </rPr>
      <t>FABIOLA</t>
    </r>
  </si>
  <si>
    <r>
      <rPr>
        <rFont val="Verdana"/>
        <color theme="1"/>
        <sz val="11.0"/>
      </rPr>
      <t>PERLA</t>
    </r>
  </si>
  <si>
    <r>
      <rPr>
        <rFont val="Tahoma"/>
        <b/>
        <color rgb="FF000000"/>
        <sz val="10.0"/>
      </rPr>
      <t xml:space="preserve">Calcular el promedio </t>
    </r>
    <r>
      <rPr>
        <rFont val="Verdana"/>
        <color rgb="FF000000"/>
        <sz val="10.0"/>
      </rPr>
      <t xml:space="preserve">de un alumno, considerando que se le dan 10 </t>
    </r>
    <r>
      <rPr>
        <rFont val="Tahoma"/>
        <b/>
        <color rgb="FF000000"/>
        <sz val="10.0"/>
      </rPr>
      <t xml:space="preserve">puntos adicionales </t>
    </r>
    <r>
      <rPr>
        <rFont val="Verdana"/>
        <color rgb="FF000000"/>
        <sz val="10.0"/>
      </rPr>
      <t xml:space="preserve">si tiene 5 asistencias o más, en caso de no cumplir con el número de asistencias, se </t>
    </r>
    <r>
      <rPr>
        <rFont val="Tahoma"/>
        <b/>
        <color rgb="FF000000"/>
        <sz val="10.0"/>
      </rPr>
      <t xml:space="preserve">descontarán </t>
    </r>
    <r>
      <rPr>
        <rFont val="Verdana"/>
        <color rgb="FF000000"/>
        <sz val="10.0"/>
      </rPr>
      <t>10 puntos a su promedio</t>
    </r>
  </si>
  <si>
    <r>
      <rPr>
        <rFont val="Tahoma"/>
        <b/>
        <color theme="1"/>
        <sz val="11.0"/>
      </rPr>
      <t>EJERCICIO 5</t>
    </r>
  </si>
  <si>
    <r>
      <rPr>
        <rFont val="Verdana"/>
        <color theme="1"/>
        <sz val="11.0"/>
      </rPr>
      <t>Hora de entrada</t>
    </r>
  </si>
  <si>
    <r>
      <rPr>
        <rFont val="Tahoma"/>
        <b/>
        <color theme="1"/>
        <sz val="11.0"/>
      </rPr>
      <t>EJERCICIO 6</t>
    </r>
  </si>
  <si>
    <r>
      <rPr>
        <rFont val="Verdana"/>
        <color theme="1"/>
        <sz val="11.0"/>
      </rPr>
      <t>Dias Trabajados</t>
    </r>
  </si>
  <si>
    <r>
      <rPr>
        <rFont val="Tahoma"/>
        <b/>
        <color theme="1"/>
        <sz val="11.0"/>
      </rPr>
      <t>Hora</t>
    </r>
  </si>
  <si>
    <r>
      <rPr>
        <rFont val="Tahoma"/>
        <b/>
        <color theme="1"/>
        <sz val="11.0"/>
      </rPr>
      <t>Estatus</t>
    </r>
  </si>
  <si>
    <r>
      <rPr>
        <rFont val="Tahoma"/>
        <b/>
        <color theme="1"/>
        <sz val="11.0"/>
      </rPr>
      <t>Fecha ingreso</t>
    </r>
  </si>
  <si>
    <r>
      <rPr>
        <rFont val="Tahoma"/>
        <b/>
        <color rgb="FF000000"/>
        <sz val="11.0"/>
      </rPr>
      <t xml:space="preserve">Fecha
</t>
    </r>
    <r>
      <rPr>
        <rFont val="Tahoma"/>
        <b/>
        <color rgb="FF000000"/>
        <sz val="11.0"/>
      </rPr>
      <t>renuncia</t>
    </r>
  </si>
  <si>
    <r>
      <rPr>
        <rFont val="Tahoma"/>
        <b/>
        <color theme="1"/>
        <sz val="11.0"/>
      </rPr>
      <t># Días</t>
    </r>
  </si>
  <si>
    <r>
      <rPr>
        <rFont val="Verdana"/>
        <color theme="1"/>
        <sz val="11.0"/>
      </rPr>
      <t>07:00:00 a.m.</t>
    </r>
  </si>
  <si>
    <r>
      <rPr>
        <rFont val="Verdana"/>
        <color theme="1"/>
        <sz val="11.0"/>
      </rPr>
      <t>06:00:00 a.m.</t>
    </r>
  </si>
  <si>
    <r>
      <rPr>
        <rFont val="Verdana"/>
        <color theme="1"/>
        <sz val="11.0"/>
      </rPr>
      <t>07:15:00 a.m.</t>
    </r>
  </si>
  <si>
    <r>
      <rPr>
        <rFont val="Verdana"/>
        <color theme="1"/>
        <sz val="11.0"/>
      </rPr>
      <t>12:00:00 a.m.</t>
    </r>
  </si>
  <si>
    <r>
      <rPr>
        <rFont val="Verdana"/>
        <color theme="1"/>
        <sz val="11.0"/>
      </rPr>
      <t>08:30:00 a.m.</t>
    </r>
  </si>
  <si>
    <r>
      <rPr>
        <rFont val="Verdana"/>
        <color rgb="FF000000"/>
        <sz val="10.0"/>
      </rPr>
      <t xml:space="preserve">Identificar el estus de la hora de entrada. Considere que si llega despues de las 7:15 llegó </t>
    </r>
    <r>
      <rPr>
        <rFont val="Tahoma"/>
        <b/>
        <color rgb="FF000000"/>
        <sz val="10.0"/>
      </rPr>
      <t xml:space="preserve">tarde </t>
    </r>
    <r>
      <rPr>
        <rFont val="Verdana"/>
        <color rgb="FF000000"/>
        <sz val="10.0"/>
      </rPr>
      <t xml:space="preserve">en caso contrario llegó </t>
    </r>
    <r>
      <rPr>
        <rFont val="Tahoma"/>
        <b/>
        <color rgb="FF000000"/>
        <sz val="10.0"/>
      </rPr>
      <t>temprano</t>
    </r>
    <r>
      <rPr>
        <rFont val="Verdana"/>
        <color rgb="FF000000"/>
        <sz val="10.0"/>
      </rPr>
      <t>.</t>
    </r>
  </si>
  <si>
    <r>
      <rPr>
        <rFont val="Tahoma"/>
        <b/>
        <color rgb="FF000000"/>
        <sz val="10.0"/>
      </rPr>
      <t xml:space="preserve">Calcula </t>
    </r>
    <r>
      <rPr>
        <rFont val="Verdana"/>
        <color rgb="FF000000"/>
        <sz val="10.0"/>
      </rPr>
      <t xml:space="preserve">los días trabajados considerando su
</t>
    </r>
    <r>
      <rPr>
        <rFont val="Tahoma"/>
        <b/>
        <color rgb="FF000000"/>
        <sz val="10.0"/>
      </rPr>
      <t>fecha de ingreso y renuncia</t>
    </r>
    <r>
      <rPr>
        <rFont val="Verdana"/>
        <color rgb="FF000000"/>
        <sz val="10.0"/>
      </rPr>
      <t>.</t>
    </r>
  </si>
  <si>
    <r>
      <rPr>
        <rFont val="Calibri"/>
        <b/>
        <color rgb="FF6F471C"/>
        <sz val="20.0"/>
      </rPr>
      <t>Condiciones Anidadas</t>
    </r>
  </si>
  <si>
    <r>
      <rPr>
        <rFont val="Calibri"/>
        <b/>
        <color theme="1"/>
        <sz val="16.0"/>
      </rPr>
      <t>=</t>
    </r>
  </si>
  <si>
    <r>
      <rPr>
        <rFont val="Calibri"/>
        <b/>
        <color rgb="FF6F2F9F"/>
        <sz val="15.0"/>
      </rPr>
      <t>SI</t>
    </r>
    <r>
      <rPr>
        <rFont val="Calibri"/>
        <b/>
        <color theme="1"/>
        <sz val="15.0"/>
      </rPr>
      <t>(</t>
    </r>
    <r>
      <rPr>
        <rFont val="Calibri"/>
        <b/>
        <color rgb="FF006FC0"/>
        <sz val="15.0"/>
      </rPr>
      <t>CRITERIO</t>
    </r>
    <r>
      <rPr>
        <rFont val="Calibri"/>
        <b/>
        <color theme="1"/>
        <sz val="15.0"/>
      </rPr>
      <t>,</t>
    </r>
    <r>
      <rPr>
        <rFont val="Calibri"/>
        <b/>
        <color rgb="FF00AF50"/>
        <sz val="15.0"/>
      </rPr>
      <t>VALOR VERDADERO</t>
    </r>
    <r>
      <rPr>
        <rFont val="Calibri"/>
        <b/>
        <color theme="1"/>
        <sz val="15.0"/>
      </rPr>
      <t>,</t>
    </r>
    <r>
      <rPr>
        <rFont val="Calibri"/>
        <b/>
        <color rgb="FF6666FF"/>
        <sz val="15.0"/>
      </rPr>
      <t>SI</t>
    </r>
    <r>
      <rPr>
        <rFont val="Calibri"/>
        <b/>
        <color rgb="FFD50092"/>
        <sz val="15.0"/>
      </rPr>
      <t>(</t>
    </r>
    <r>
      <rPr>
        <rFont val="Calibri"/>
        <b/>
        <color rgb="FF006FC0"/>
        <sz val="15.0"/>
      </rPr>
      <t>CRITERIO</t>
    </r>
    <r>
      <rPr>
        <rFont val="Calibri"/>
        <b/>
        <color theme="1"/>
        <sz val="15.0"/>
      </rPr>
      <t>,</t>
    </r>
    <r>
      <rPr>
        <rFont val="Calibri"/>
        <b/>
        <color rgb="FF00AF50"/>
        <sz val="15.0"/>
      </rPr>
      <t>VALOR VERDADERO</t>
    </r>
    <r>
      <rPr>
        <rFont val="Calibri"/>
        <b/>
        <color theme="1"/>
        <sz val="15.0"/>
      </rPr>
      <t>,</t>
    </r>
    <r>
      <rPr>
        <rFont val="Calibri"/>
        <b/>
        <color rgb="FFFF9900"/>
        <sz val="15.0"/>
      </rPr>
      <t>VALOR FALSO</t>
    </r>
    <r>
      <rPr>
        <rFont val="Calibri"/>
        <b/>
        <color rgb="FFD50092"/>
        <sz val="15.0"/>
      </rPr>
      <t>)</t>
    </r>
    <r>
      <rPr>
        <rFont val="Calibri"/>
        <b/>
        <color theme="1"/>
        <sz val="15.0"/>
      </rPr>
      <t>)</t>
    </r>
  </si>
  <si>
    <r>
      <rPr>
        <rFont val="Tahoma"/>
        <b/>
        <color theme="1"/>
        <sz val="11.0"/>
      </rPr>
      <t>EJERCICIO 7</t>
    </r>
  </si>
  <si>
    <r>
      <rPr>
        <rFont val="Verdana"/>
        <color theme="1"/>
        <sz val="11.0"/>
      </rPr>
      <t>Edades 2</t>
    </r>
  </si>
  <si>
    <r>
      <rPr>
        <rFont val="Tahoma"/>
        <b/>
        <color theme="1"/>
        <sz val="11.0"/>
      </rPr>
      <t>EJERCICIO 8</t>
    </r>
  </si>
  <si>
    <r>
      <rPr>
        <rFont val="Verdana"/>
        <color theme="1"/>
        <sz val="11.0"/>
      </rPr>
      <t>Comisiones</t>
    </r>
  </si>
  <si>
    <r>
      <rPr>
        <rFont val="Tahoma"/>
        <b/>
        <color theme="1"/>
        <sz val="11.0"/>
      </rPr>
      <t>Edad</t>
    </r>
  </si>
  <si>
    <r>
      <rPr>
        <rFont val="Tahoma"/>
        <b/>
        <color theme="1"/>
        <sz val="11.0"/>
      </rPr>
      <t>Observación</t>
    </r>
  </si>
  <si>
    <r>
      <rPr>
        <rFont val="Tahoma"/>
        <b/>
        <color theme="1"/>
        <sz val="11.0"/>
      </rPr>
      <t>Ventas</t>
    </r>
  </si>
  <si>
    <r>
      <rPr>
        <rFont val="Tahoma"/>
        <b/>
        <color theme="1"/>
        <sz val="11.0"/>
      </rPr>
      <t>Comisión</t>
    </r>
  </si>
  <si>
    <r>
      <rPr>
        <rFont val="Verdana"/>
        <color rgb="FF000000"/>
        <sz val="9.0"/>
      </rPr>
      <t xml:space="preserve">Identificar si una persona </t>
    </r>
    <r>
      <rPr>
        <rFont val="Tahoma"/>
        <b/>
        <color rgb="FF000000"/>
        <sz val="9.0"/>
      </rPr>
      <t xml:space="preserve">es menor de edad, mayor de edad o de tercera edad. </t>
    </r>
    <r>
      <rPr>
        <rFont val="Verdana"/>
        <color rgb="FF000000"/>
        <sz val="9.0"/>
      </rPr>
      <t xml:space="preserve">Considere que  tercera edad es de </t>
    </r>
    <r>
      <rPr>
        <rFont val="Tahoma"/>
        <b/>
        <color rgb="FF000000"/>
        <sz val="9.0"/>
      </rPr>
      <t>60 años en adelante</t>
    </r>
    <r>
      <rPr>
        <rFont val="Verdana"/>
        <color rgb="FF000000"/>
        <sz val="9.0"/>
      </rPr>
      <t>.</t>
    </r>
  </si>
  <si>
    <r>
      <rPr>
        <rFont val="Tahoma"/>
        <b/>
        <color theme="1"/>
        <sz val="8.0"/>
      </rPr>
      <t xml:space="preserve">Calcule la comisión </t>
    </r>
    <r>
      <rPr>
        <rFont val="Verdana"/>
        <color theme="1"/>
        <sz val="8.0"/>
      </rPr>
      <t xml:space="preserve">dependiendo del monto de la venta. Si la venta </t>
    </r>
    <r>
      <rPr>
        <rFont val="Tahoma"/>
        <b/>
        <color theme="1"/>
        <sz val="8.0"/>
      </rPr>
      <t xml:space="preserve">excede de 30 mil </t>
    </r>
    <r>
      <rPr>
        <rFont val="Verdana"/>
        <color theme="1"/>
        <sz val="8.0"/>
      </rPr>
      <t xml:space="preserve">pesos se dará el 20% de la venta como comisión, si vendió </t>
    </r>
    <r>
      <rPr>
        <rFont val="Tahoma"/>
        <b/>
        <color theme="1"/>
        <sz val="8.0"/>
      </rPr>
      <t xml:space="preserve">menos de 30 mil y mas de 10 mil </t>
    </r>
    <r>
      <rPr>
        <rFont val="Verdana"/>
        <color theme="1"/>
        <sz val="8.0"/>
      </rPr>
      <t xml:space="preserve">tendrá comisión de 10%, en caso contrario se le dará comisión fija de  </t>
    </r>
    <r>
      <rPr>
        <rFont val="Tahoma"/>
        <b/>
        <color theme="1"/>
        <sz val="8.0"/>
      </rPr>
      <t>$ 400 pesos</t>
    </r>
  </si>
  <si>
    <r>
      <rPr>
        <rFont val="Tahoma"/>
        <b/>
        <color theme="1"/>
        <sz val="11.0"/>
      </rPr>
      <t>EJERCICIO 9</t>
    </r>
  </si>
  <si>
    <r>
      <rPr>
        <rFont val="Verdana"/>
        <color theme="1"/>
        <sz val="11.0"/>
      </rPr>
      <t>Categorías</t>
    </r>
  </si>
  <si>
    <r>
      <rPr>
        <rFont val="Tahoma"/>
        <b/>
        <color theme="1"/>
        <sz val="11.0"/>
      </rPr>
      <t>Ventas</t>
    </r>
  </si>
  <si>
    <r>
      <rPr>
        <rFont val="Tahoma"/>
        <b/>
        <color theme="1"/>
        <sz val="11.0"/>
      </rPr>
      <t>Estatus</t>
    </r>
  </si>
  <si>
    <r>
      <rPr>
        <rFont val="Verdana"/>
        <color rgb="FF000000"/>
        <sz val="9.0"/>
      </rPr>
      <t xml:space="preserve">Identifique la </t>
    </r>
    <r>
      <rPr>
        <rFont val="Tahoma"/>
        <b/>
        <color rgb="FF000000"/>
        <sz val="9.0"/>
      </rPr>
      <t xml:space="preserve">categoría </t>
    </r>
    <r>
      <rPr>
        <rFont val="Verdana"/>
        <color rgb="FF000000"/>
        <sz val="9.0"/>
      </rPr>
      <t xml:space="preserve">de cada
</t>
    </r>
    <r>
      <rPr>
        <rFont val="Verdana"/>
        <color rgb="FF000000"/>
        <sz val="9.0"/>
      </rPr>
      <t xml:space="preserve">vendedor de acuerdo a los siguientes categorias: Ventas mayores de 50 mil </t>
    </r>
    <r>
      <rPr>
        <rFont val="Tahoma"/>
        <b/>
        <color rgb="FF000000"/>
        <sz val="9.0"/>
      </rPr>
      <t>Diamante</t>
    </r>
    <r>
      <rPr>
        <rFont val="Verdana"/>
        <color rgb="FF000000"/>
        <sz val="9.0"/>
      </rPr>
      <t xml:space="preserve">, Ventas mayores  a 30 mil </t>
    </r>
    <r>
      <rPr>
        <rFont val="Tahoma"/>
        <b/>
        <color rgb="FF000000"/>
        <sz val="9.0"/>
      </rPr>
      <t>Platino</t>
    </r>
    <r>
      <rPr>
        <rFont val="Verdana"/>
        <color rgb="FF000000"/>
        <sz val="9.0"/>
      </rPr>
      <t xml:space="preserve">, quienes no alcancen ventas
</t>
    </r>
    <r>
      <rPr>
        <rFont val="Verdana"/>
        <color rgb="FF000000"/>
        <sz val="9.0"/>
      </rPr>
      <t>desplegar el texto "</t>
    </r>
    <r>
      <rPr>
        <rFont val="Tahoma"/>
        <b/>
        <color rgb="FF000000"/>
        <sz val="9.0"/>
      </rPr>
      <t>Sin categoría</t>
    </r>
    <r>
      <rPr>
        <rFont val="Verdana"/>
        <color rgb="FF000000"/>
        <sz val="9.0"/>
      </rPr>
      <t>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</si>
</sst>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 0.00"/>
    <numFmt numFmtId="165" formatCode="$ #,##0.00"/>
    <numFmt numFmtId="166" formatCode="0.0"/>
    <numFmt numFmtId="167" formatCode="d/MM/yyyy"/>
  </numFmts>
  <fonts count="16">
    <font>
      <sz val="10.0"/>
      <color rgb="FF000000"/>
      <name val="Times New Roman"/>
      <scheme val="minor"/>
    </font>
    <font>
      <b/>
      <sz val="20.0"/>
      <color theme="1"/>
      <name val="Calibri"/>
    </font>
    <font>
      <b/>
      <sz val="16.0"/>
      <color theme="1"/>
      <name val="Calibri"/>
    </font>
    <font>
      <b/>
      <sz val="15.0"/>
      <color theme="1"/>
      <name val="Calibri"/>
    </font>
    <font>
      <sz val="16.0"/>
      <color theme="1"/>
      <name val="Calibri"/>
    </font>
    <font>
      <b/>
      <sz val="11.0"/>
      <color theme="1"/>
      <name val="Tahoma"/>
    </font>
    <font>
      <b/>
      <sz val="20.0"/>
      <color theme="1"/>
      <name val="Tahoma"/>
    </font>
    <font>
      <sz val="10.0"/>
      <color rgb="FF000000"/>
      <name val="Times New Roman"/>
    </font>
    <font>
      <b/>
      <sz val="9.0"/>
      <color theme="1"/>
      <name val="Calibri"/>
    </font>
    <font>
      <sz val="11.0"/>
      <color theme="1"/>
      <name val="Verdana"/>
    </font>
    <font/>
    <font>
      <sz val="11.0"/>
      <color rgb="FF000000"/>
      <name val="Verdana"/>
    </font>
    <font>
      <sz val="10.0"/>
      <color theme="1"/>
      <name val="Verdana"/>
    </font>
    <font>
      <sz val="11.0"/>
      <color rgb="FF006FC0"/>
      <name val="Verdana"/>
    </font>
    <font>
      <sz val="11.0"/>
      <color theme="1"/>
      <name val="Calibri"/>
    </font>
    <font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CB400"/>
        <bgColor rgb="FFCCB400"/>
      </patternFill>
    </fill>
    <fill>
      <patternFill patternType="solid">
        <fgColor rgb="FFD7D7D7"/>
        <bgColor rgb="FFD7D7D7"/>
      </patternFill>
    </fill>
    <fill>
      <patternFill patternType="solid">
        <fgColor rgb="FFFFFFFF"/>
        <bgColor rgb="FFFFFFFF"/>
      </patternFill>
    </fill>
  </fills>
  <borders count="17">
    <border/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righ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shrinkToFit="0" vertical="top" wrapText="1"/>
    </xf>
    <xf borderId="2" fillId="2" fontId="5" numFmtId="0" xfId="0" applyAlignment="1" applyBorder="1" applyFill="1" applyFont="1">
      <alignment horizontal="left" shrinkToFit="0" vertical="top" wrapText="1"/>
    </xf>
    <xf borderId="2" fillId="2" fontId="5" numFmtId="0" xfId="0" applyAlignment="1" applyBorder="1" applyFont="1">
      <alignment horizontal="center" shrinkToFit="0" vertical="top" wrapText="1"/>
    </xf>
    <xf borderId="0" fillId="2" fontId="5" numFmtId="0" xfId="0" applyAlignment="1" applyFont="1">
      <alignment horizontal="left" shrinkToFit="0" vertical="top" wrapText="1"/>
    </xf>
    <xf borderId="3" fillId="2" fontId="5" numFmtId="0" xfId="0" applyAlignment="1" applyBorder="1" applyFont="1">
      <alignment horizontal="left" shrinkToFit="0" vertical="top" wrapText="1"/>
    </xf>
    <xf borderId="4" fillId="0" fontId="10" numFmtId="0" xfId="0" applyAlignment="1" applyBorder="1" applyFont="1">
      <alignment horizontal="left" vertical="top"/>
    </xf>
    <xf borderId="5" fillId="3" fontId="9" numFmtId="0" xfId="0" applyAlignment="1" applyBorder="1" applyFill="1" applyFont="1">
      <alignment horizontal="left" shrinkToFit="0" vertical="top" wrapText="1"/>
    </xf>
    <xf borderId="5" fillId="3" fontId="9" numFmtId="0" xfId="0" applyAlignment="1" applyBorder="1" applyFont="1">
      <alignment horizontal="center" shrinkToFit="0" vertical="top" wrapText="1"/>
    </xf>
    <xf borderId="3" fillId="3" fontId="11" numFmtId="1" xfId="0" applyAlignment="1" applyBorder="1" applyFont="1" applyNumberFormat="1">
      <alignment horizontal="center" shrinkToFit="1" vertical="top" wrapText="0"/>
    </xf>
    <xf borderId="3" fillId="3" fontId="12" numFmtId="0" xfId="0" applyAlignment="1" applyBorder="1" applyFont="1">
      <alignment horizontal="left" shrinkToFit="0" vertical="top" wrapText="1"/>
    </xf>
    <xf borderId="5" fillId="4" fontId="9" numFmtId="0" xfId="0" applyAlignment="1" applyBorder="1" applyFill="1" applyFont="1">
      <alignment horizontal="center" shrinkToFit="0" vertical="top" wrapText="1"/>
    </xf>
    <xf borderId="0" fillId="0" fontId="11" numFmtId="1" xfId="0" applyAlignment="1" applyFont="1" applyNumberFormat="1">
      <alignment horizontal="center" shrinkToFit="1" vertical="top" wrapText="0"/>
    </xf>
    <xf borderId="3" fillId="4" fontId="12" numFmtId="0" xfId="0" applyAlignment="1" applyBorder="1" applyFont="1">
      <alignment horizontal="left" shrinkToFit="0" vertical="top" wrapText="1"/>
    </xf>
    <xf borderId="6" fillId="3" fontId="9" numFmtId="0" xfId="0" applyAlignment="1" applyBorder="1" applyFont="1">
      <alignment horizontal="left" shrinkToFit="0" vertical="top" wrapText="1"/>
    </xf>
    <xf borderId="7" fillId="3" fontId="9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left" shrinkToFit="0" vertical="top" wrapText="1"/>
    </xf>
    <xf borderId="8" fillId="0" fontId="10" numFmtId="0" xfId="0" applyAlignment="1" applyBorder="1" applyFont="1">
      <alignment horizontal="left" vertical="top"/>
    </xf>
    <xf borderId="0" fillId="0" fontId="7" numFmtId="0" xfId="0" applyAlignment="1" applyFont="1">
      <alignment horizontal="left" shrinkToFit="0" vertical="top" wrapText="1"/>
    </xf>
    <xf borderId="6" fillId="2" fontId="5" numFmtId="0" xfId="0" applyAlignment="1" applyBorder="1" applyFont="1">
      <alignment horizontal="left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left" shrinkToFit="0" vertical="center" wrapText="1"/>
    </xf>
    <xf borderId="6" fillId="3" fontId="11" numFmtId="1" xfId="0" applyAlignment="1" applyBorder="1" applyFont="1" applyNumberFormat="1">
      <alignment horizontal="center" shrinkToFit="1" vertical="top" wrapText="0"/>
    </xf>
    <xf borderId="6" fillId="3" fontId="11" numFmtId="164" xfId="0" applyAlignment="1" applyBorder="1" applyFont="1" applyNumberFormat="1">
      <alignment horizontal="center" shrinkToFit="1" vertical="top" wrapText="0"/>
    </xf>
    <xf borderId="0" fillId="3" fontId="13" numFmtId="165" xfId="0" applyAlignment="1" applyFont="1" applyNumberFormat="1">
      <alignment horizontal="left" shrinkToFit="1" vertical="top" wrapText="0"/>
    </xf>
    <xf borderId="0" fillId="0" fontId="7" numFmtId="0" xfId="0" applyAlignment="1" applyFont="1">
      <alignment horizontal="left" shrinkToFit="0" vertical="bottom" wrapText="1"/>
    </xf>
    <xf borderId="0" fillId="0" fontId="11" numFmtId="164" xfId="0" applyAlignment="1" applyFont="1" applyNumberFormat="1">
      <alignment horizontal="center" shrinkToFit="1" vertical="top" wrapText="0"/>
    </xf>
    <xf borderId="0" fillId="0" fontId="13" numFmtId="165" xfId="0" applyAlignment="1" applyFont="1" applyNumberFormat="1">
      <alignment horizontal="left" shrinkToFit="1" vertical="top" wrapText="0"/>
    </xf>
    <xf borderId="0" fillId="0" fontId="7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right" shrinkToFit="0" vertical="top" wrapText="1"/>
    </xf>
    <xf borderId="1" fillId="0" fontId="10" numFmtId="0" xfId="0" applyAlignment="1" applyBorder="1" applyFont="1">
      <alignment horizontal="left" vertical="top"/>
    </xf>
    <xf borderId="9" fillId="2" fontId="5" numFmtId="0" xfId="0" applyAlignment="1" applyBorder="1" applyFont="1">
      <alignment horizontal="left" shrinkToFit="0" vertical="top" wrapText="1"/>
    </xf>
    <xf borderId="10" fillId="0" fontId="10" numFmtId="0" xfId="0" applyAlignment="1" applyBorder="1" applyFont="1">
      <alignment horizontal="left" vertical="top"/>
    </xf>
    <xf borderId="5" fillId="3" fontId="11" numFmtId="1" xfId="0" applyAlignment="1" applyBorder="1" applyFont="1" applyNumberFormat="1">
      <alignment horizontal="center" shrinkToFit="1" vertical="top" wrapText="0"/>
    </xf>
    <xf borderId="11" fillId="3" fontId="11" numFmtId="1" xfId="0" applyAlignment="1" applyBorder="1" applyFont="1" applyNumberFormat="1">
      <alignment horizontal="center" shrinkToFit="1" vertical="top" wrapText="0"/>
    </xf>
    <xf borderId="12" fillId="0" fontId="10" numFmtId="0" xfId="0" applyAlignment="1" applyBorder="1" applyFont="1">
      <alignment horizontal="left" vertical="top"/>
    </xf>
    <xf borderId="5" fillId="3" fontId="13" numFmtId="166" xfId="0" applyAlignment="1" applyBorder="1" applyFont="1" applyNumberFormat="1">
      <alignment horizontal="center" shrinkToFit="1" vertical="top" wrapText="0"/>
    </xf>
    <xf borderId="5" fillId="4" fontId="13" numFmtId="166" xfId="0" applyAlignment="1" applyBorder="1" applyFont="1" applyNumberFormat="1">
      <alignment horizontal="center" shrinkToFit="1" vertical="top" wrapText="0"/>
    </xf>
    <xf borderId="7" fillId="3" fontId="11" numFmtId="1" xfId="0" applyAlignment="1" applyBorder="1" applyFont="1" applyNumberFormat="1">
      <alignment horizontal="center" shrinkToFit="1" vertical="top" wrapText="0"/>
    </xf>
    <xf borderId="13" fillId="3" fontId="11" numFmtId="1" xfId="0" applyAlignment="1" applyBorder="1" applyFont="1" applyNumberFormat="1">
      <alignment horizontal="center" shrinkToFit="1" vertical="top" wrapText="0"/>
    </xf>
    <xf borderId="14" fillId="0" fontId="10" numFmtId="0" xfId="0" applyAlignment="1" applyBorder="1" applyFont="1">
      <alignment horizontal="left" vertical="top"/>
    </xf>
    <xf borderId="8" fillId="0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8" fillId="2" fontId="5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5" fillId="3" fontId="9" numFmtId="0" xfId="0" applyAlignment="1" applyBorder="1" applyFont="1">
      <alignment horizontal="right" shrinkToFit="0" vertical="top" wrapText="1"/>
    </xf>
    <xf borderId="5" fillId="3" fontId="14" numFmtId="0" xfId="0" applyAlignment="1" applyBorder="1" applyFont="1">
      <alignment horizontal="left" shrinkToFit="0" vertical="top" wrapText="1"/>
    </xf>
    <xf borderId="5" fillId="3" fontId="11" numFmtId="167" xfId="0" applyAlignment="1" applyBorder="1" applyFont="1" applyNumberFormat="1">
      <alignment horizontal="center" shrinkToFit="1" vertical="top" wrapText="0"/>
    </xf>
    <xf borderId="11" fillId="3" fontId="11" numFmtId="167" xfId="0" applyAlignment="1" applyBorder="1" applyFont="1" applyNumberFormat="1">
      <alignment horizontal="left" shrinkToFit="1" vertical="top" wrapText="0"/>
    </xf>
    <xf borderId="5" fillId="3" fontId="13" numFmtId="1" xfId="0" applyAlignment="1" applyBorder="1" applyFont="1" applyNumberFormat="1">
      <alignment horizontal="center" shrinkToFit="1" vertical="top" wrapText="0"/>
    </xf>
    <xf borderId="0" fillId="0" fontId="9" numFmtId="0" xfId="0" applyAlignment="1" applyFont="1">
      <alignment horizontal="right" shrinkToFit="0" vertical="top" wrapText="1"/>
    </xf>
    <xf borderId="5" fillId="4" fontId="14" numFmtId="0" xfId="0" applyAlignment="1" applyBorder="1" applyFont="1">
      <alignment horizontal="left" shrinkToFit="0" vertical="top" wrapText="1"/>
    </xf>
    <xf borderId="0" fillId="0" fontId="11" numFmtId="167" xfId="0" applyAlignment="1" applyFont="1" applyNumberFormat="1">
      <alignment horizontal="center" shrinkToFit="1" vertical="top" wrapText="0"/>
    </xf>
    <xf borderId="0" fillId="0" fontId="11" numFmtId="167" xfId="0" applyAlignment="1" applyFont="1" applyNumberFormat="1">
      <alignment horizontal="left" shrinkToFit="1" vertical="top" wrapText="0"/>
    </xf>
    <xf borderId="5" fillId="4" fontId="13" numFmtId="1" xfId="0" applyAlignment="1" applyBorder="1" applyFont="1" applyNumberFormat="1">
      <alignment horizontal="center" shrinkToFit="1" vertical="top" wrapText="0"/>
    </xf>
    <xf borderId="6" fillId="3" fontId="9" numFmtId="0" xfId="0" applyAlignment="1" applyBorder="1" applyFont="1">
      <alignment horizontal="right" shrinkToFit="0" vertical="top" wrapText="1"/>
    </xf>
    <xf borderId="6" fillId="3" fontId="11" numFmtId="167" xfId="0" applyAlignment="1" applyBorder="1" applyFont="1" applyNumberFormat="1">
      <alignment horizontal="center" shrinkToFit="1" vertical="top" wrapText="0"/>
    </xf>
    <xf borderId="3" fillId="3" fontId="11" numFmtId="167" xfId="0" applyAlignment="1" applyBorder="1" applyFont="1" applyNumberFormat="1">
      <alignment horizontal="left" shrinkToFit="1" vertical="top" wrapText="0"/>
    </xf>
    <xf borderId="7" fillId="3" fontId="9" numFmtId="0" xfId="0" applyAlignment="1" applyBorder="1" applyFont="1">
      <alignment horizontal="right" shrinkToFit="0" vertical="top" wrapText="1"/>
    </xf>
    <xf borderId="7" fillId="3" fontId="11" numFmtId="167" xfId="0" applyAlignment="1" applyBorder="1" applyFont="1" applyNumberFormat="1">
      <alignment horizontal="center" shrinkToFit="1" vertical="top" wrapText="0"/>
    </xf>
    <xf borderId="13" fillId="3" fontId="11" numFmtId="167" xfId="0" applyAlignment="1" applyBorder="1" applyFont="1" applyNumberFormat="1">
      <alignment horizontal="left" shrinkToFit="1" vertical="top" wrapText="0"/>
    </xf>
    <xf borderId="8" fillId="0" fontId="7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right" shrinkToFit="0" vertical="top" wrapText="1"/>
    </xf>
    <xf borderId="6" fillId="2" fontId="5" numFmtId="0" xfId="0" applyAlignment="1" applyBorder="1" applyFont="1">
      <alignment horizontal="left" shrinkToFit="0" vertical="top" wrapText="1"/>
    </xf>
    <xf borderId="6" fillId="3" fontId="13" numFmtId="0" xfId="0" applyAlignment="1" applyBorder="1" applyFont="1">
      <alignment horizontal="left" readingOrder="0" shrinkToFit="0" vertical="top" wrapText="1"/>
    </xf>
    <xf borderId="6" fillId="3" fontId="11" numFmtId="165" xfId="0" applyAlignment="1" applyBorder="1" applyFont="1" applyNumberFormat="1">
      <alignment horizontal="right" shrinkToFit="1" vertical="top" wrapText="0"/>
    </xf>
    <xf borderId="6" fillId="4" fontId="13" numFmtId="0" xfId="0" applyAlignment="1" applyBorder="1" applyFont="1">
      <alignment horizontal="left" readingOrder="0" shrinkToFit="0" vertical="top" wrapText="1"/>
    </xf>
    <xf borderId="0" fillId="0" fontId="11" numFmtId="165" xfId="0" applyAlignment="1" applyFont="1" applyNumberFormat="1">
      <alignment horizontal="right" shrinkToFit="1" vertical="top" wrapText="0"/>
    </xf>
    <xf borderId="0" fillId="0" fontId="13" numFmtId="164" xfId="0" applyAlignment="1" applyFont="1" applyNumberFormat="1">
      <alignment horizontal="left" shrinkToFit="1" vertical="top" wrapText="0"/>
    </xf>
    <xf borderId="0" fillId="0" fontId="7" numFmtId="0" xfId="0" applyAlignment="1" applyFont="1">
      <alignment horizontal="center" shrinkToFit="0" vertical="top" wrapText="1"/>
    </xf>
    <xf borderId="0" fillId="0" fontId="15" numFmtId="0" xfId="0" applyAlignment="1" applyFont="1">
      <alignment horizontal="left" shrinkToFit="0" textRotation="0" vertical="center" wrapText="1"/>
    </xf>
    <xf borderId="15" fillId="2" fontId="5" numFmtId="0" xfId="0" applyAlignment="1" applyBorder="1" applyFont="1">
      <alignment horizontal="center" shrinkToFit="0" vertical="top" wrapText="1"/>
    </xf>
    <xf borderId="3" fillId="3" fontId="11" numFmtId="165" xfId="0" applyAlignment="1" applyBorder="1" applyFont="1" applyNumberFormat="1">
      <alignment horizontal="right" shrinkToFit="1" vertical="top" wrapText="0"/>
    </xf>
    <xf borderId="16" fillId="3" fontId="9" numFmtId="0" xfId="0" applyAlignment="1" applyBorder="1" applyFont="1">
      <alignment horizontal="center" shrinkToFit="0" vertical="top" wrapText="1"/>
    </xf>
    <xf borderId="16" fillId="4" fontId="9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1</xdr:row>
      <xdr:rowOff>304800</xdr:rowOff>
    </xdr:from>
    <xdr:ext cx="276225" cy="485775"/>
    <xdr:grpSp>
      <xdr:nvGrpSpPr>
        <xdr:cNvPr id="2" name="Shape 2"/>
        <xdr:cNvGrpSpPr/>
      </xdr:nvGrpSpPr>
      <xdr:grpSpPr>
        <a:xfrm>
          <a:off x="5207253" y="3536796"/>
          <a:ext cx="277475" cy="486400"/>
          <a:chOff x="5207253" y="3536796"/>
          <a:chExt cx="277475" cy="486400"/>
        </a:xfrm>
      </xdr:grpSpPr>
      <xdr:grpSp>
        <xdr:nvGrpSpPr>
          <xdr:cNvPr id="3" name="Shape 3"/>
          <xdr:cNvGrpSpPr/>
        </xdr:nvGrpSpPr>
        <xdr:grpSpPr>
          <a:xfrm>
            <a:off x="5207253" y="3536796"/>
            <a:ext cx="277475" cy="486400"/>
            <a:chOff x="0" y="0"/>
            <a:chExt cx="277475" cy="4864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277475" cy="486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77368" cy="486155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6" name="Shape 6"/>
            <xdr:cNvSpPr/>
          </xdr:nvSpPr>
          <xdr:spPr>
            <a:xfrm>
              <a:off x="81152" y="19430"/>
              <a:ext cx="111125" cy="305435"/>
            </a:xfrm>
            <a:custGeom>
              <a:rect b="b" l="l" r="r" t="t"/>
              <a:pathLst>
                <a:path extrusionOk="0" h="305435" w="111125">
                  <a:moveTo>
                    <a:pt x="10413" y="200405"/>
                  </a:moveTo>
                  <a:lnTo>
                    <a:pt x="5842" y="203200"/>
                  </a:lnTo>
                  <a:lnTo>
                    <a:pt x="1397" y="205993"/>
                  </a:lnTo>
                  <a:lnTo>
                    <a:pt x="0" y="211836"/>
                  </a:lnTo>
                  <a:lnTo>
                    <a:pt x="2794" y="216280"/>
                  </a:lnTo>
                  <a:lnTo>
                    <a:pt x="57403" y="305434"/>
                  </a:lnTo>
                  <a:lnTo>
                    <a:pt x="67749" y="286765"/>
                  </a:lnTo>
                  <a:lnTo>
                    <a:pt x="47498" y="286765"/>
                  </a:lnTo>
                  <a:lnTo>
                    <a:pt x="46715" y="251488"/>
                  </a:lnTo>
                  <a:lnTo>
                    <a:pt x="16255" y="201802"/>
                  </a:lnTo>
                  <a:lnTo>
                    <a:pt x="10413" y="200405"/>
                  </a:lnTo>
                  <a:close/>
                </a:path>
                <a:path extrusionOk="0" h="305435" w="111125">
                  <a:moveTo>
                    <a:pt x="46715" y="251488"/>
                  </a:moveTo>
                  <a:lnTo>
                    <a:pt x="47382" y="281558"/>
                  </a:lnTo>
                  <a:lnTo>
                    <a:pt x="47498" y="286765"/>
                  </a:lnTo>
                  <a:lnTo>
                    <a:pt x="66548" y="286257"/>
                  </a:lnTo>
                  <a:lnTo>
                    <a:pt x="66452" y="281939"/>
                  </a:lnTo>
                  <a:lnTo>
                    <a:pt x="48641" y="281939"/>
                  </a:lnTo>
                  <a:lnTo>
                    <a:pt x="56591" y="267597"/>
                  </a:lnTo>
                  <a:lnTo>
                    <a:pt x="46715" y="251488"/>
                  </a:lnTo>
                  <a:close/>
                </a:path>
                <a:path extrusionOk="0" h="305435" w="111125">
                  <a:moveTo>
                    <a:pt x="99822" y="198500"/>
                  </a:moveTo>
                  <a:lnTo>
                    <a:pt x="93979" y="200151"/>
                  </a:lnTo>
                  <a:lnTo>
                    <a:pt x="65766" y="251046"/>
                  </a:lnTo>
                  <a:lnTo>
                    <a:pt x="66443" y="281558"/>
                  </a:lnTo>
                  <a:lnTo>
                    <a:pt x="66548" y="286257"/>
                  </a:lnTo>
                  <a:lnTo>
                    <a:pt x="47498" y="286765"/>
                  </a:lnTo>
                  <a:lnTo>
                    <a:pt x="67749" y="286765"/>
                  </a:lnTo>
                  <a:lnTo>
                    <a:pt x="110617" y="209423"/>
                  </a:lnTo>
                  <a:lnTo>
                    <a:pt x="108966" y="203580"/>
                  </a:lnTo>
                  <a:lnTo>
                    <a:pt x="99822" y="198500"/>
                  </a:lnTo>
                  <a:close/>
                </a:path>
                <a:path extrusionOk="0" h="305435" w="111125">
                  <a:moveTo>
                    <a:pt x="56591" y="267597"/>
                  </a:moveTo>
                  <a:lnTo>
                    <a:pt x="48641" y="281939"/>
                  </a:lnTo>
                  <a:lnTo>
                    <a:pt x="65150" y="281558"/>
                  </a:lnTo>
                  <a:lnTo>
                    <a:pt x="56591" y="267597"/>
                  </a:lnTo>
                  <a:close/>
                </a:path>
                <a:path extrusionOk="0" h="305435" w="111125">
                  <a:moveTo>
                    <a:pt x="65766" y="251046"/>
                  </a:moveTo>
                  <a:lnTo>
                    <a:pt x="56591" y="267597"/>
                  </a:lnTo>
                  <a:lnTo>
                    <a:pt x="65150" y="281558"/>
                  </a:lnTo>
                  <a:lnTo>
                    <a:pt x="48641" y="281939"/>
                  </a:lnTo>
                  <a:lnTo>
                    <a:pt x="66452" y="281939"/>
                  </a:lnTo>
                  <a:lnTo>
                    <a:pt x="65776" y="251488"/>
                  </a:lnTo>
                  <a:lnTo>
                    <a:pt x="65766" y="251046"/>
                  </a:lnTo>
                  <a:close/>
                </a:path>
                <a:path extrusionOk="0" h="305435" w="111125">
                  <a:moveTo>
                    <a:pt x="60198" y="0"/>
                  </a:moveTo>
                  <a:lnTo>
                    <a:pt x="41148" y="380"/>
                  </a:lnTo>
                  <a:lnTo>
                    <a:pt x="46705" y="251046"/>
                  </a:lnTo>
                  <a:lnTo>
                    <a:pt x="46715" y="251488"/>
                  </a:lnTo>
                  <a:lnTo>
                    <a:pt x="56591" y="267597"/>
                  </a:lnTo>
                  <a:lnTo>
                    <a:pt x="65766" y="251046"/>
                  </a:lnTo>
                  <a:lnTo>
                    <a:pt x="60206" y="380"/>
                  </a:lnTo>
                  <a:lnTo>
                    <a:pt x="60198" y="0"/>
                  </a:lnTo>
                  <a:close/>
                </a:path>
              </a:pathLst>
            </a:custGeom>
            <a:solidFill>
              <a:srgbClr val="CCB400"/>
            </a:solidFill>
            <a:ln>
              <a:noFill/>
            </a:ln>
          </xdr:spPr>
        </xdr:sp>
      </xdr:grpSp>
    </xdr:grpSp>
    <xdr:clientData fLocksWithSheet="0"/>
  </xdr:oneCellAnchor>
  <xdr:oneCellAnchor>
    <xdr:from>
      <xdr:col>7</xdr:col>
      <xdr:colOff>1162050</xdr:colOff>
      <xdr:row>1</xdr:row>
      <xdr:rowOff>295275</xdr:rowOff>
    </xdr:from>
    <xdr:ext cx="276225" cy="704850"/>
    <xdr:grpSp>
      <xdr:nvGrpSpPr>
        <xdr:cNvPr id="2" name="Shape 2"/>
        <xdr:cNvGrpSpPr/>
      </xdr:nvGrpSpPr>
      <xdr:grpSpPr>
        <a:xfrm>
          <a:off x="5207253" y="3424718"/>
          <a:ext cx="277475" cy="710550"/>
          <a:chOff x="5207253" y="3424718"/>
          <a:chExt cx="277475" cy="710550"/>
        </a:xfrm>
      </xdr:grpSpPr>
      <xdr:grpSp>
        <xdr:nvGrpSpPr>
          <xdr:cNvPr id="7" name="Shape 7"/>
          <xdr:cNvGrpSpPr/>
        </xdr:nvGrpSpPr>
        <xdr:grpSpPr>
          <a:xfrm>
            <a:off x="5207253" y="3424718"/>
            <a:ext cx="277475" cy="710550"/>
            <a:chOff x="0" y="0"/>
            <a:chExt cx="277475" cy="710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277475" cy="71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0" y="0"/>
              <a:ext cx="277368" cy="710184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9" name="Shape 9"/>
            <xdr:cNvSpPr/>
          </xdr:nvSpPr>
          <xdr:spPr>
            <a:xfrm>
              <a:off x="81406" y="20193"/>
              <a:ext cx="111125" cy="528955"/>
            </a:xfrm>
            <a:custGeom>
              <a:rect b="b" l="l" r="r" t="t"/>
              <a:pathLst>
                <a:path extrusionOk="0" h="528955" w="111125">
                  <a:moveTo>
                    <a:pt x="10413" y="423418"/>
                  </a:moveTo>
                  <a:lnTo>
                    <a:pt x="5969" y="426212"/>
                  </a:lnTo>
                  <a:lnTo>
                    <a:pt x="1397" y="429006"/>
                  </a:lnTo>
                  <a:lnTo>
                    <a:pt x="0" y="434848"/>
                  </a:lnTo>
                  <a:lnTo>
                    <a:pt x="2794" y="439293"/>
                  </a:lnTo>
                  <a:lnTo>
                    <a:pt x="57403" y="528447"/>
                  </a:lnTo>
                  <a:lnTo>
                    <a:pt x="67749" y="509777"/>
                  </a:lnTo>
                  <a:lnTo>
                    <a:pt x="47498" y="509777"/>
                  </a:lnTo>
                  <a:lnTo>
                    <a:pt x="46724" y="474513"/>
                  </a:lnTo>
                  <a:lnTo>
                    <a:pt x="16255" y="424814"/>
                  </a:lnTo>
                  <a:lnTo>
                    <a:pt x="10413" y="423418"/>
                  </a:lnTo>
                  <a:close/>
                </a:path>
                <a:path extrusionOk="0" h="528955" w="111125">
                  <a:moveTo>
                    <a:pt x="46724" y="474513"/>
                  </a:moveTo>
                  <a:lnTo>
                    <a:pt x="47383" y="504571"/>
                  </a:lnTo>
                  <a:lnTo>
                    <a:pt x="47498" y="509777"/>
                  </a:lnTo>
                  <a:lnTo>
                    <a:pt x="66548" y="509270"/>
                  </a:lnTo>
                  <a:lnTo>
                    <a:pt x="66453" y="504951"/>
                  </a:lnTo>
                  <a:lnTo>
                    <a:pt x="48640" y="504951"/>
                  </a:lnTo>
                  <a:lnTo>
                    <a:pt x="56591" y="490609"/>
                  </a:lnTo>
                  <a:lnTo>
                    <a:pt x="46724" y="474513"/>
                  </a:lnTo>
                  <a:close/>
                </a:path>
                <a:path extrusionOk="0" h="528955" w="111125">
                  <a:moveTo>
                    <a:pt x="99822" y="421513"/>
                  </a:moveTo>
                  <a:lnTo>
                    <a:pt x="93979" y="423163"/>
                  </a:lnTo>
                  <a:lnTo>
                    <a:pt x="65774" y="474043"/>
                  </a:lnTo>
                  <a:lnTo>
                    <a:pt x="66444" y="504571"/>
                  </a:lnTo>
                  <a:lnTo>
                    <a:pt x="66548" y="509270"/>
                  </a:lnTo>
                  <a:lnTo>
                    <a:pt x="47498" y="509777"/>
                  </a:lnTo>
                  <a:lnTo>
                    <a:pt x="67749" y="509777"/>
                  </a:lnTo>
                  <a:lnTo>
                    <a:pt x="110617" y="432435"/>
                  </a:lnTo>
                  <a:lnTo>
                    <a:pt x="108965" y="426593"/>
                  </a:lnTo>
                  <a:lnTo>
                    <a:pt x="99822" y="421513"/>
                  </a:lnTo>
                  <a:close/>
                </a:path>
                <a:path extrusionOk="0" h="528955" w="111125">
                  <a:moveTo>
                    <a:pt x="56591" y="490609"/>
                  </a:moveTo>
                  <a:lnTo>
                    <a:pt x="48640" y="504951"/>
                  </a:lnTo>
                  <a:lnTo>
                    <a:pt x="65150" y="504571"/>
                  </a:lnTo>
                  <a:lnTo>
                    <a:pt x="56591" y="490609"/>
                  </a:lnTo>
                  <a:close/>
                </a:path>
                <a:path extrusionOk="0" h="528955" w="111125">
                  <a:moveTo>
                    <a:pt x="65774" y="474043"/>
                  </a:moveTo>
                  <a:lnTo>
                    <a:pt x="56591" y="490609"/>
                  </a:lnTo>
                  <a:lnTo>
                    <a:pt x="65150" y="504571"/>
                  </a:lnTo>
                  <a:lnTo>
                    <a:pt x="48640" y="504951"/>
                  </a:lnTo>
                  <a:lnTo>
                    <a:pt x="66453" y="504951"/>
                  </a:lnTo>
                  <a:lnTo>
                    <a:pt x="65785" y="474513"/>
                  </a:lnTo>
                  <a:lnTo>
                    <a:pt x="65774" y="474043"/>
                  </a:lnTo>
                  <a:close/>
                </a:path>
                <a:path extrusionOk="0" h="528955" w="111125">
                  <a:moveTo>
                    <a:pt x="55372" y="0"/>
                  </a:moveTo>
                  <a:lnTo>
                    <a:pt x="36322" y="381"/>
                  </a:lnTo>
                  <a:lnTo>
                    <a:pt x="46714" y="474043"/>
                  </a:lnTo>
                  <a:lnTo>
                    <a:pt x="46724" y="474513"/>
                  </a:lnTo>
                  <a:lnTo>
                    <a:pt x="56591" y="490609"/>
                  </a:lnTo>
                  <a:lnTo>
                    <a:pt x="65774" y="474043"/>
                  </a:lnTo>
                  <a:lnTo>
                    <a:pt x="55380" y="381"/>
                  </a:lnTo>
                  <a:lnTo>
                    <a:pt x="55372" y="0"/>
                  </a:lnTo>
                  <a:close/>
                </a:path>
              </a:pathLst>
            </a:custGeom>
            <a:solidFill>
              <a:srgbClr val="CCB400">
                <a:alpha val="50196"/>
              </a:srgbClr>
            </a:solidFill>
            <a:ln>
              <a:noFill/>
            </a:ln>
          </xdr:spPr>
        </xdr:sp>
      </xdr:grpSp>
    </xdr:grpSp>
    <xdr:clientData fLocksWithSheet="0"/>
  </xdr:oneCellAnchor>
  <xdr:oneCellAnchor>
    <xdr:from>
      <xdr:col>7</xdr:col>
      <xdr:colOff>1552575</xdr:colOff>
      <xdr:row>1</xdr:row>
      <xdr:rowOff>295275</xdr:rowOff>
    </xdr:from>
    <xdr:ext cx="276225" cy="933450"/>
    <xdr:grpSp>
      <xdr:nvGrpSpPr>
        <xdr:cNvPr id="2" name="Shape 2"/>
        <xdr:cNvGrpSpPr/>
      </xdr:nvGrpSpPr>
      <xdr:grpSpPr>
        <a:xfrm>
          <a:off x="5207253" y="3308830"/>
          <a:ext cx="277475" cy="942325"/>
          <a:chOff x="5207253" y="3308830"/>
          <a:chExt cx="277475" cy="942325"/>
        </a:xfrm>
      </xdr:grpSpPr>
      <xdr:grpSp>
        <xdr:nvGrpSpPr>
          <xdr:cNvPr id="10" name="Shape 10"/>
          <xdr:cNvGrpSpPr/>
        </xdr:nvGrpSpPr>
        <xdr:grpSpPr>
          <a:xfrm>
            <a:off x="5207253" y="3308830"/>
            <a:ext cx="277475" cy="942325"/>
            <a:chOff x="0" y="0"/>
            <a:chExt cx="277475" cy="9423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277475" cy="942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0" y="0"/>
              <a:ext cx="277368" cy="94183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2" name="Shape 12"/>
            <xdr:cNvSpPr/>
          </xdr:nvSpPr>
          <xdr:spPr>
            <a:xfrm>
              <a:off x="82296" y="19176"/>
              <a:ext cx="111125" cy="761365"/>
            </a:xfrm>
            <a:custGeom>
              <a:rect b="b" l="l" r="r" t="t"/>
              <a:pathLst>
                <a:path extrusionOk="0" h="761365" w="111125">
                  <a:moveTo>
                    <a:pt x="10541" y="655574"/>
                  </a:moveTo>
                  <a:lnTo>
                    <a:pt x="5969" y="658240"/>
                  </a:lnTo>
                  <a:lnTo>
                    <a:pt x="1524" y="660908"/>
                  </a:lnTo>
                  <a:lnTo>
                    <a:pt x="0" y="666750"/>
                  </a:lnTo>
                  <a:lnTo>
                    <a:pt x="2667" y="671322"/>
                  </a:lnTo>
                  <a:lnTo>
                    <a:pt x="56261" y="761111"/>
                  </a:lnTo>
                  <a:lnTo>
                    <a:pt x="66986" y="742314"/>
                  </a:lnTo>
                  <a:lnTo>
                    <a:pt x="46608" y="742314"/>
                  </a:lnTo>
                  <a:lnTo>
                    <a:pt x="46254" y="707163"/>
                  </a:lnTo>
                  <a:lnTo>
                    <a:pt x="16459" y="657225"/>
                  </a:lnTo>
                  <a:lnTo>
                    <a:pt x="16869" y="657225"/>
                  </a:lnTo>
                  <a:lnTo>
                    <a:pt x="10541" y="655574"/>
                  </a:lnTo>
                  <a:close/>
                </a:path>
                <a:path extrusionOk="0" h="761365" w="111125">
                  <a:moveTo>
                    <a:pt x="46254" y="707163"/>
                  </a:moveTo>
                  <a:lnTo>
                    <a:pt x="46560" y="737488"/>
                  </a:lnTo>
                  <a:lnTo>
                    <a:pt x="46608" y="742314"/>
                  </a:lnTo>
                  <a:lnTo>
                    <a:pt x="65658" y="742061"/>
                  </a:lnTo>
                  <a:lnTo>
                    <a:pt x="65612" y="737488"/>
                  </a:lnTo>
                  <a:lnTo>
                    <a:pt x="47751" y="737488"/>
                  </a:lnTo>
                  <a:lnTo>
                    <a:pt x="55854" y="723262"/>
                  </a:lnTo>
                  <a:lnTo>
                    <a:pt x="46254" y="707163"/>
                  </a:lnTo>
                  <a:close/>
                </a:path>
                <a:path extrusionOk="0" h="761365" w="111125">
                  <a:moveTo>
                    <a:pt x="99949" y="654685"/>
                  </a:moveTo>
                  <a:lnTo>
                    <a:pt x="94106" y="656209"/>
                  </a:lnTo>
                  <a:lnTo>
                    <a:pt x="91440" y="660780"/>
                  </a:lnTo>
                  <a:lnTo>
                    <a:pt x="65301" y="706674"/>
                  </a:lnTo>
                  <a:lnTo>
                    <a:pt x="65612" y="737488"/>
                  </a:lnTo>
                  <a:lnTo>
                    <a:pt x="65658" y="742061"/>
                  </a:lnTo>
                  <a:lnTo>
                    <a:pt x="46608" y="742314"/>
                  </a:lnTo>
                  <a:lnTo>
                    <a:pt x="66986" y="742314"/>
                  </a:lnTo>
                  <a:lnTo>
                    <a:pt x="108076" y="670305"/>
                  </a:lnTo>
                  <a:lnTo>
                    <a:pt x="110617" y="665734"/>
                  </a:lnTo>
                  <a:lnTo>
                    <a:pt x="109093" y="659891"/>
                  </a:lnTo>
                  <a:lnTo>
                    <a:pt x="104521" y="657225"/>
                  </a:lnTo>
                  <a:lnTo>
                    <a:pt x="99949" y="654685"/>
                  </a:lnTo>
                  <a:close/>
                </a:path>
                <a:path extrusionOk="0" h="761365" w="111125">
                  <a:moveTo>
                    <a:pt x="55854" y="723262"/>
                  </a:moveTo>
                  <a:lnTo>
                    <a:pt x="47751" y="737488"/>
                  </a:lnTo>
                  <a:lnTo>
                    <a:pt x="64337" y="737488"/>
                  </a:lnTo>
                  <a:lnTo>
                    <a:pt x="55854" y="723262"/>
                  </a:lnTo>
                  <a:close/>
                </a:path>
                <a:path extrusionOk="0" h="761365" w="111125">
                  <a:moveTo>
                    <a:pt x="65301" y="706674"/>
                  </a:moveTo>
                  <a:lnTo>
                    <a:pt x="55854" y="723262"/>
                  </a:lnTo>
                  <a:lnTo>
                    <a:pt x="64337" y="737488"/>
                  </a:lnTo>
                  <a:lnTo>
                    <a:pt x="65612" y="737488"/>
                  </a:lnTo>
                  <a:lnTo>
                    <a:pt x="65306" y="707163"/>
                  </a:lnTo>
                  <a:lnTo>
                    <a:pt x="65301" y="706674"/>
                  </a:lnTo>
                  <a:close/>
                </a:path>
                <a:path extrusionOk="0" h="761365" w="111125">
                  <a:moveTo>
                    <a:pt x="58167" y="0"/>
                  </a:moveTo>
                  <a:lnTo>
                    <a:pt x="39116" y="0"/>
                  </a:lnTo>
                  <a:lnTo>
                    <a:pt x="46249" y="706674"/>
                  </a:lnTo>
                  <a:lnTo>
                    <a:pt x="46254" y="707163"/>
                  </a:lnTo>
                  <a:lnTo>
                    <a:pt x="55854" y="723262"/>
                  </a:lnTo>
                  <a:lnTo>
                    <a:pt x="65301" y="706674"/>
                  </a:lnTo>
                  <a:lnTo>
                    <a:pt x="58167" y="0"/>
                  </a:lnTo>
                  <a:close/>
                </a:path>
              </a:pathLst>
            </a:custGeom>
            <a:solidFill>
              <a:srgbClr val="CCB400">
                <a:alpha val="50196"/>
              </a:srgbClr>
            </a:solidFill>
            <a:ln>
              <a:noFill/>
            </a:ln>
          </xdr:spPr>
        </xdr: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5.57"/>
    <col customWidth="1" min="3" max="3" width="20.86"/>
    <col customWidth="1" min="4" max="4" width="19.71"/>
    <col customWidth="1" min="5" max="5" width="17.29"/>
    <col customWidth="1" min="6" max="6" width="2.29"/>
    <col customWidth="1" min="7" max="7" width="16.29"/>
    <col customWidth="1" min="8" max="8" width="29.57"/>
    <col customWidth="1" min="9" max="9" width="0.43"/>
    <col customWidth="1" min="10" max="10" width="2.29"/>
    <col customWidth="1" min="11" max="26" width="8.71"/>
  </cols>
  <sheetData>
    <row r="1" ht="30.0" customHeight="1">
      <c r="A1" s="1" t="s">
        <v>0</v>
      </c>
    </row>
    <row r="2" ht="33.0" customHeight="1">
      <c r="A2" s="2" t="s">
        <v>1</v>
      </c>
      <c r="B2" s="3" t="s">
        <v>2</v>
      </c>
      <c r="F2" s="2" t="s">
        <v>3</v>
      </c>
      <c r="H2" s="4" t="s">
        <v>4</v>
      </c>
    </row>
    <row r="3" ht="43.5" customHeight="1">
      <c r="A3" s="5" t="s">
        <v>5</v>
      </c>
      <c r="C3" s="6" t="s">
        <v>6</v>
      </c>
      <c r="F3" s="7"/>
      <c r="H3" s="8" t="s">
        <v>7</v>
      </c>
    </row>
    <row r="4" ht="32.25" customHeight="1">
      <c r="A4" s="9" t="s">
        <v>8</v>
      </c>
      <c r="B4" s="10" t="s">
        <v>9</v>
      </c>
      <c r="C4" s="11"/>
      <c r="D4" s="5" t="s">
        <v>10</v>
      </c>
      <c r="F4" s="12" t="s">
        <v>11</v>
      </c>
      <c r="H4" s="8" t="s">
        <v>12</v>
      </c>
    </row>
    <row r="5" ht="16.5" customHeight="1">
      <c r="A5" s="13" t="s">
        <v>13</v>
      </c>
      <c r="B5" s="14" t="s">
        <v>14</v>
      </c>
      <c r="C5" s="14" t="s">
        <v>15</v>
      </c>
      <c r="E5" s="15" t="s">
        <v>16</v>
      </c>
      <c r="F5" s="16" t="s">
        <v>17</v>
      </c>
      <c r="G5" s="17"/>
      <c r="H5" s="16" t="s">
        <v>18</v>
      </c>
      <c r="I5" s="17"/>
    </row>
    <row r="6" ht="16.5" customHeight="1">
      <c r="A6" s="18" t="s">
        <v>19</v>
      </c>
      <c r="B6" s="18" t="s">
        <v>20</v>
      </c>
      <c r="C6" s="19" t="str">
        <f t="shared" ref="C6:C10" si="1">IF(B6="MASCULINO","HOMBRE","MUJER")</f>
        <v>HOMBRE</v>
      </c>
      <c r="E6" s="12" t="s">
        <v>21</v>
      </c>
      <c r="F6" s="20">
        <v>18.0</v>
      </c>
      <c r="G6" s="17"/>
      <c r="H6" s="21" t="str">
        <f t="shared" ref="H6:H10" si="2">IF(F6&gt;=18,"SOY MAYOR DE EDAD","SOY MENOR DE EDAD")</f>
        <v>SOY MAYOR DE EDAD</v>
      </c>
      <c r="I6" s="17"/>
    </row>
    <row r="7" ht="16.5" customHeight="1">
      <c r="A7" s="12" t="s">
        <v>22</v>
      </c>
      <c r="B7" s="12" t="s">
        <v>23</v>
      </c>
      <c r="C7" s="22" t="str">
        <f t="shared" si="1"/>
        <v>MUJER</v>
      </c>
      <c r="E7" s="12" t="s">
        <v>24</v>
      </c>
      <c r="F7" s="23">
        <v>12.0</v>
      </c>
      <c r="H7" s="24" t="str">
        <f t="shared" si="2"/>
        <v>SOY MENOR DE EDAD</v>
      </c>
      <c r="I7" s="17"/>
    </row>
    <row r="8" ht="16.5" customHeight="1">
      <c r="A8" s="25" t="s">
        <v>25</v>
      </c>
      <c r="B8" s="25" t="s">
        <v>26</v>
      </c>
      <c r="C8" s="19" t="str">
        <f t="shared" si="1"/>
        <v>HOMBRE</v>
      </c>
      <c r="E8" s="12" t="s">
        <v>27</v>
      </c>
      <c r="F8" s="20">
        <v>50.0</v>
      </c>
      <c r="G8" s="17"/>
      <c r="H8" s="21" t="str">
        <f t="shared" si="2"/>
        <v>SOY MAYOR DE EDAD</v>
      </c>
      <c r="I8" s="17"/>
    </row>
    <row r="9" ht="16.5" customHeight="1">
      <c r="A9" s="12" t="s">
        <v>28</v>
      </c>
      <c r="B9" s="12" t="s">
        <v>29</v>
      </c>
      <c r="C9" s="22" t="str">
        <f t="shared" si="1"/>
        <v>MUJER</v>
      </c>
      <c r="E9" s="12" t="s">
        <v>30</v>
      </c>
      <c r="F9" s="23">
        <v>32.0</v>
      </c>
      <c r="H9" s="24" t="str">
        <f t="shared" si="2"/>
        <v>SOY MAYOR DE EDAD</v>
      </c>
      <c r="I9" s="17"/>
    </row>
    <row r="10" ht="16.5" customHeight="1">
      <c r="A10" s="26" t="s">
        <v>31</v>
      </c>
      <c r="B10" s="26" t="s">
        <v>32</v>
      </c>
      <c r="C10" s="19" t="str">
        <f t="shared" si="1"/>
        <v>MUJER</v>
      </c>
      <c r="E10" s="12" t="s">
        <v>33</v>
      </c>
      <c r="F10" s="20">
        <v>5.0</v>
      </c>
      <c r="G10" s="17"/>
      <c r="H10" s="21" t="str">
        <f t="shared" si="2"/>
        <v>SOY MENOR DE EDAD</v>
      </c>
      <c r="I10" s="17"/>
    </row>
    <row r="11" ht="39.0" customHeight="1">
      <c r="A11" s="27" t="s">
        <v>34</v>
      </c>
      <c r="B11" s="28"/>
      <c r="C11" s="28"/>
      <c r="D11" s="29" t="s">
        <v>35</v>
      </c>
    </row>
    <row r="12" ht="33.0" customHeight="1">
      <c r="A12" s="5" t="s">
        <v>36</v>
      </c>
      <c r="B12" s="12" t="s">
        <v>37</v>
      </c>
      <c r="C12" s="7"/>
      <c r="D12" s="7"/>
      <c r="F12" s="7"/>
      <c r="H12" s="7"/>
    </row>
    <row r="13" ht="41.25" customHeight="1">
      <c r="A13" s="30" t="s">
        <v>38</v>
      </c>
      <c r="B13" s="30" t="s">
        <v>39</v>
      </c>
      <c r="C13" s="31" t="s">
        <v>40</v>
      </c>
      <c r="D13" s="32" t="s">
        <v>41</v>
      </c>
      <c r="F13" s="7"/>
      <c r="H13" s="7"/>
    </row>
    <row r="14" ht="16.5" customHeight="1">
      <c r="A14" s="25" t="s">
        <v>42</v>
      </c>
      <c r="B14" s="33">
        <v>4.0</v>
      </c>
      <c r="C14" s="34">
        <v>789.0</v>
      </c>
      <c r="D14" s="35">
        <f t="shared" ref="D14:D18" si="3">(B14*C14)+IF(B14&gt;14,400,-100)</f>
        <v>3056</v>
      </c>
      <c r="F14" s="36"/>
      <c r="H14" s="36"/>
    </row>
    <row r="15" ht="16.5" customHeight="1">
      <c r="A15" s="12" t="s">
        <v>43</v>
      </c>
      <c r="B15" s="23">
        <v>15.0</v>
      </c>
      <c r="C15" s="37">
        <v>522.0</v>
      </c>
      <c r="D15" s="38">
        <f t="shared" si="3"/>
        <v>8230</v>
      </c>
      <c r="F15" s="36"/>
      <c r="H15" s="36"/>
    </row>
    <row r="16" ht="16.5" customHeight="1">
      <c r="A16" s="25" t="s">
        <v>44</v>
      </c>
      <c r="B16" s="33">
        <v>10.0</v>
      </c>
      <c r="C16" s="34">
        <v>456.0</v>
      </c>
      <c r="D16" s="35">
        <f t="shared" si="3"/>
        <v>4460</v>
      </c>
      <c r="F16" s="36"/>
      <c r="H16" s="36"/>
    </row>
    <row r="17" ht="16.5" customHeight="1">
      <c r="A17" s="12" t="s">
        <v>45</v>
      </c>
      <c r="B17" s="23">
        <v>22.0</v>
      </c>
      <c r="C17" s="37">
        <v>125.0</v>
      </c>
      <c r="D17" s="38">
        <f t="shared" si="3"/>
        <v>3150</v>
      </c>
      <c r="F17" s="36"/>
      <c r="H17" s="36"/>
    </row>
    <row r="18" ht="16.5" customHeight="1">
      <c r="A18" s="25" t="s">
        <v>46</v>
      </c>
      <c r="B18" s="33">
        <v>5.0</v>
      </c>
      <c r="C18" s="34">
        <v>153.0</v>
      </c>
      <c r="D18" s="35">
        <f t="shared" si="3"/>
        <v>665</v>
      </c>
      <c r="F18" s="36"/>
      <c r="H18" s="36"/>
    </row>
    <row r="19" ht="46.5" customHeight="1">
      <c r="A19" s="39" t="s">
        <v>47</v>
      </c>
    </row>
    <row r="20" ht="13.5" customHeight="1">
      <c r="A20" s="40" t="s">
        <v>48</v>
      </c>
    </row>
    <row r="21" ht="16.5" customHeight="1"/>
    <row r="22" ht="16.5" customHeight="1"/>
    <row r="23" ht="30.75" customHeight="1">
      <c r="A23" s="9" t="s">
        <v>49</v>
      </c>
      <c r="B23" s="10" t="s">
        <v>50</v>
      </c>
      <c r="C23" s="11"/>
      <c r="D23" s="11"/>
      <c r="E23" s="11"/>
      <c r="F23" s="41"/>
      <c r="G23" s="11"/>
    </row>
    <row r="24" ht="31.5" customHeight="1">
      <c r="A24" s="13" t="s">
        <v>51</v>
      </c>
      <c r="B24" s="13" t="s">
        <v>52</v>
      </c>
      <c r="C24" s="14" t="s">
        <v>53</v>
      </c>
      <c r="D24" s="14" t="s">
        <v>54</v>
      </c>
      <c r="E24" s="42" t="s">
        <v>55</v>
      </c>
      <c r="F24" s="43"/>
      <c r="G24" s="14" t="s">
        <v>56</v>
      </c>
    </row>
    <row r="25" ht="16.5" customHeight="1">
      <c r="A25" s="18" t="s">
        <v>57</v>
      </c>
      <c r="B25" s="44">
        <v>100.0</v>
      </c>
      <c r="C25" s="44">
        <v>75.0</v>
      </c>
      <c r="D25" s="44">
        <v>95.0</v>
      </c>
      <c r="E25" s="45">
        <v>8.0</v>
      </c>
      <c r="F25" s="46"/>
      <c r="G25" s="47">
        <f t="shared" ref="G25:G29" si="4">AVERAGE(B25:D25)+IF(E25&gt;=5,10,-10)</f>
        <v>100</v>
      </c>
    </row>
    <row r="26" ht="16.5" customHeight="1">
      <c r="A26" s="12" t="s">
        <v>58</v>
      </c>
      <c r="B26" s="23">
        <v>100.0</v>
      </c>
      <c r="C26" s="23">
        <v>75.0</v>
      </c>
      <c r="D26" s="23">
        <v>95.0</v>
      </c>
      <c r="E26" s="23">
        <v>5.0</v>
      </c>
      <c r="G26" s="48">
        <f t="shared" si="4"/>
        <v>100</v>
      </c>
    </row>
    <row r="27" ht="16.5" customHeight="1">
      <c r="A27" s="25" t="s">
        <v>59</v>
      </c>
      <c r="B27" s="33">
        <v>50.0</v>
      </c>
      <c r="C27" s="33">
        <v>89.0</v>
      </c>
      <c r="D27" s="33">
        <v>91.0</v>
      </c>
      <c r="E27" s="20">
        <v>3.0</v>
      </c>
      <c r="F27" s="17"/>
      <c r="G27" s="47">
        <f t="shared" si="4"/>
        <v>66.66666667</v>
      </c>
    </row>
    <row r="28" ht="16.5" customHeight="1">
      <c r="A28" s="12" t="s">
        <v>60</v>
      </c>
      <c r="B28" s="23">
        <v>89.0</v>
      </c>
      <c r="C28" s="23">
        <v>62.0</v>
      </c>
      <c r="D28" s="23">
        <v>45.0</v>
      </c>
      <c r="E28" s="23">
        <v>2.0</v>
      </c>
      <c r="G28" s="48">
        <f t="shared" si="4"/>
        <v>55.33333333</v>
      </c>
    </row>
    <row r="29" ht="16.5" customHeight="1">
      <c r="A29" s="26" t="s">
        <v>61</v>
      </c>
      <c r="B29" s="49">
        <v>20.0</v>
      </c>
      <c r="C29" s="49">
        <v>45.0</v>
      </c>
      <c r="D29" s="49">
        <v>100.0</v>
      </c>
      <c r="E29" s="50">
        <v>6.0</v>
      </c>
      <c r="F29" s="51"/>
      <c r="G29" s="47">
        <f t="shared" si="4"/>
        <v>65</v>
      </c>
    </row>
    <row r="30" ht="57.0" customHeight="1">
      <c r="A30" s="52" t="s">
        <v>62</v>
      </c>
      <c r="B30" s="28"/>
      <c r="C30" s="28"/>
      <c r="D30" s="28"/>
      <c r="E30" s="28"/>
      <c r="F30" s="28"/>
      <c r="G30" s="28"/>
    </row>
    <row r="31" ht="42.75" customHeight="1">
      <c r="A31" s="9" t="s">
        <v>63</v>
      </c>
      <c r="B31" s="10" t="s">
        <v>64</v>
      </c>
      <c r="C31" s="5" t="s">
        <v>65</v>
      </c>
      <c r="E31" s="10" t="s">
        <v>66</v>
      </c>
      <c r="F31" s="41"/>
      <c r="G31" s="53"/>
    </row>
    <row r="32" ht="33.0" customHeight="1">
      <c r="A32" s="14" t="s">
        <v>67</v>
      </c>
      <c r="B32" s="14" t="s">
        <v>68</v>
      </c>
      <c r="D32" s="54" t="s">
        <v>69</v>
      </c>
      <c r="E32" s="55" t="s">
        <v>70</v>
      </c>
      <c r="F32" s="43"/>
      <c r="G32" s="14" t="s">
        <v>71</v>
      </c>
    </row>
    <row r="33" ht="16.5" customHeight="1">
      <c r="A33" s="56" t="s">
        <v>72</v>
      </c>
      <c r="B33" s="57" t="str">
        <f t="shared" ref="B33:B37" si="5">IF(A33&gt;"07:15:00","TARDE","A TIEMPO")</f>
        <v>A TIEMPO</v>
      </c>
      <c r="C33" s="36"/>
      <c r="D33" s="58">
        <v>42736.0</v>
      </c>
      <c r="E33" s="59">
        <v>42780.0</v>
      </c>
      <c r="F33" s="46"/>
      <c r="G33" s="60">
        <f t="shared" ref="G33:G37" si="6">E33-D33</f>
        <v>44</v>
      </c>
    </row>
    <row r="34" ht="16.5" customHeight="1">
      <c r="A34" s="61" t="s">
        <v>73</v>
      </c>
      <c r="B34" s="62" t="str">
        <f t="shared" si="5"/>
        <v>A TIEMPO</v>
      </c>
      <c r="C34" s="36"/>
      <c r="D34" s="63">
        <v>29656.0</v>
      </c>
      <c r="E34" s="64">
        <v>32838.0</v>
      </c>
      <c r="G34" s="65">
        <f t="shared" si="6"/>
        <v>3182</v>
      </c>
    </row>
    <row r="35" ht="16.5" customHeight="1">
      <c r="A35" s="66" t="s">
        <v>74</v>
      </c>
      <c r="B35" s="57" t="str">
        <f t="shared" si="5"/>
        <v>TARDE</v>
      </c>
      <c r="C35" s="36"/>
      <c r="D35" s="67">
        <v>42464.0</v>
      </c>
      <c r="E35" s="68">
        <v>42728.0</v>
      </c>
      <c r="F35" s="17"/>
      <c r="G35" s="60">
        <f t="shared" si="6"/>
        <v>264</v>
      </c>
    </row>
    <row r="36" ht="16.5" customHeight="1">
      <c r="A36" s="61" t="s">
        <v>75</v>
      </c>
      <c r="B36" s="62" t="str">
        <f t="shared" si="5"/>
        <v>TARDE</v>
      </c>
      <c r="C36" s="36"/>
      <c r="D36" s="63">
        <v>38144.0</v>
      </c>
      <c r="E36" s="64">
        <v>42305.0</v>
      </c>
      <c r="G36" s="65">
        <f t="shared" si="6"/>
        <v>4161</v>
      </c>
    </row>
    <row r="37" ht="16.5" customHeight="1">
      <c r="A37" s="69" t="s">
        <v>76</v>
      </c>
      <c r="B37" s="57" t="str">
        <f t="shared" si="5"/>
        <v>TARDE</v>
      </c>
      <c r="C37" s="36"/>
      <c r="D37" s="70">
        <v>40049.0</v>
      </c>
      <c r="E37" s="71">
        <v>42829.0</v>
      </c>
      <c r="F37" s="51"/>
      <c r="G37" s="60">
        <f t="shared" si="6"/>
        <v>2780</v>
      </c>
    </row>
    <row r="38" ht="63.75" customHeight="1">
      <c r="A38" s="52" t="s">
        <v>77</v>
      </c>
      <c r="B38" s="28"/>
      <c r="C38" s="29"/>
      <c r="D38" s="72" t="s">
        <v>78</v>
      </c>
      <c r="E38" s="28"/>
      <c r="F38" s="28"/>
      <c r="G38" s="2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66">
    <mergeCell ref="F16:G16"/>
    <mergeCell ref="H16:I16"/>
    <mergeCell ref="E23:F23"/>
    <mergeCell ref="E24:F24"/>
    <mergeCell ref="E25:F25"/>
    <mergeCell ref="E26:F26"/>
    <mergeCell ref="E27:F27"/>
    <mergeCell ref="E28:F28"/>
    <mergeCell ref="E29:F29"/>
    <mergeCell ref="A30:G30"/>
    <mergeCell ref="C31:D31"/>
    <mergeCell ref="E31:F31"/>
    <mergeCell ref="E32:F32"/>
    <mergeCell ref="E33:F33"/>
    <mergeCell ref="E34:F34"/>
    <mergeCell ref="E35:F35"/>
    <mergeCell ref="E36:F36"/>
    <mergeCell ref="E37:F37"/>
    <mergeCell ref="A38:B38"/>
    <mergeCell ref="D38:G38"/>
    <mergeCell ref="D17:E17"/>
    <mergeCell ref="D18:E18"/>
    <mergeCell ref="D14:E14"/>
    <mergeCell ref="F14:G14"/>
    <mergeCell ref="H14:I14"/>
    <mergeCell ref="F15:G15"/>
    <mergeCell ref="H15:I15"/>
    <mergeCell ref="D15:E15"/>
    <mergeCell ref="D16:E16"/>
    <mergeCell ref="A1:I1"/>
    <mergeCell ref="B2:E2"/>
    <mergeCell ref="F2:G2"/>
    <mergeCell ref="H2:I2"/>
    <mergeCell ref="A3:B3"/>
    <mergeCell ref="F3:G3"/>
    <mergeCell ref="H3:I3"/>
    <mergeCell ref="C3:E3"/>
    <mergeCell ref="D4:E4"/>
    <mergeCell ref="F4:G4"/>
    <mergeCell ref="H4:I4"/>
    <mergeCell ref="F5:G5"/>
    <mergeCell ref="H5:I5"/>
    <mergeCell ref="F6:G6"/>
    <mergeCell ref="H6:I6"/>
    <mergeCell ref="F7:G7"/>
    <mergeCell ref="H7:I7"/>
    <mergeCell ref="H8:I8"/>
    <mergeCell ref="F9:G9"/>
    <mergeCell ref="F10:G10"/>
    <mergeCell ref="A11:C11"/>
    <mergeCell ref="D11:I11"/>
    <mergeCell ref="H9:I9"/>
    <mergeCell ref="H10:I10"/>
    <mergeCell ref="D12:E12"/>
    <mergeCell ref="F12:G12"/>
    <mergeCell ref="H12:I12"/>
    <mergeCell ref="D13:E13"/>
    <mergeCell ref="F13:G13"/>
    <mergeCell ref="H13:I13"/>
    <mergeCell ref="F17:G17"/>
    <mergeCell ref="H17:I17"/>
    <mergeCell ref="F18:G18"/>
    <mergeCell ref="H18:I18"/>
    <mergeCell ref="A19:I19"/>
    <mergeCell ref="A20:J20"/>
    <mergeCell ref="F8:G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40.14"/>
    <col customWidth="1" min="4" max="4" width="34.57"/>
    <col customWidth="1" min="7" max="7" width="6.43"/>
    <col customWidth="1" min="8" max="8" width="0.43"/>
  </cols>
  <sheetData>
    <row r="1">
      <c r="A1" s="1" t="s">
        <v>79</v>
      </c>
    </row>
    <row r="2">
      <c r="A2" s="2" t="s">
        <v>80</v>
      </c>
      <c r="B2" s="3" t="s">
        <v>81</v>
      </c>
    </row>
    <row r="3">
      <c r="A3" s="9" t="s">
        <v>82</v>
      </c>
      <c r="B3" s="10" t="s">
        <v>83</v>
      </c>
      <c r="C3" s="7"/>
      <c r="D3" s="5" t="s">
        <v>84</v>
      </c>
      <c r="E3" s="12" t="s">
        <v>85</v>
      </c>
    </row>
    <row r="4">
      <c r="A4" s="73" t="s">
        <v>86</v>
      </c>
      <c r="B4" s="74" t="s">
        <v>87</v>
      </c>
      <c r="C4" s="36"/>
      <c r="D4" s="75" t="s">
        <v>88</v>
      </c>
      <c r="E4" s="15" t="s">
        <v>89</v>
      </c>
    </row>
    <row r="5">
      <c r="A5" s="33">
        <v>15.0</v>
      </c>
      <c r="B5" s="76" t="str">
        <f t="shared" ref="B5:B9" si="1">IF(A5&gt;=60,"TERCERA EDAD", IF(A5&lt;18,"MENOR DE EDAD","MAYOR DE EDAD"))</f>
        <v>MENOR DE EDAD</v>
      </c>
      <c r="C5" s="36"/>
      <c r="D5" s="77">
        <v>50000.0</v>
      </c>
      <c r="E5" s="35">
        <f>IF(D5 &gt; 30000, D5 * 20%, IF(D5 &gt; 10000, D5 * 10%, 400))</f>
        <v>10000</v>
      </c>
    </row>
    <row r="6">
      <c r="A6" s="23">
        <v>80.0</v>
      </c>
      <c r="B6" s="78" t="str">
        <f t="shared" si="1"/>
        <v>TERCERA EDAD</v>
      </c>
      <c r="C6" s="36"/>
      <c r="D6" s="79">
        <v>30800.0</v>
      </c>
      <c r="E6" s="38">
        <v>6160.0</v>
      </c>
    </row>
    <row r="7">
      <c r="A7" s="33">
        <v>50.0</v>
      </c>
      <c r="B7" s="76" t="str">
        <f t="shared" si="1"/>
        <v>MAYOR DE EDAD</v>
      </c>
      <c r="C7" s="36"/>
      <c r="D7" s="77">
        <v>12500.0</v>
      </c>
      <c r="E7" s="35">
        <v>1250.0</v>
      </c>
    </row>
    <row r="8">
      <c r="A8" s="23">
        <v>76.0</v>
      </c>
      <c r="B8" s="78" t="str">
        <f t="shared" si="1"/>
        <v>TERCERA EDAD</v>
      </c>
      <c r="C8" s="36"/>
      <c r="D8" s="79">
        <v>4600.0</v>
      </c>
      <c r="E8" s="80">
        <v>400.0</v>
      </c>
    </row>
    <row r="9">
      <c r="A9" s="33">
        <v>17.0</v>
      </c>
      <c r="B9" s="76" t="str">
        <f t="shared" si="1"/>
        <v>MENOR DE EDAD</v>
      </c>
      <c r="C9" s="36"/>
      <c r="D9" s="77">
        <v>85700.0</v>
      </c>
      <c r="E9" s="35">
        <v>17140.0</v>
      </c>
    </row>
    <row r="10" ht="43.5" customHeight="1">
      <c r="A10" s="81" t="s">
        <v>90</v>
      </c>
      <c r="C10" s="81"/>
      <c r="D10" s="82" t="s">
        <v>91</v>
      </c>
    </row>
    <row r="11">
      <c r="A11" s="9" t="s">
        <v>92</v>
      </c>
      <c r="B11" s="10" t="s">
        <v>93</v>
      </c>
      <c r="C11" s="29"/>
      <c r="D11" s="29"/>
    </row>
    <row r="12">
      <c r="A12" s="73" t="s">
        <v>94</v>
      </c>
      <c r="B12" s="83" t="s">
        <v>95</v>
      </c>
      <c r="C12" s="36"/>
    </row>
    <row r="13">
      <c r="A13" s="84">
        <v>50000.0</v>
      </c>
      <c r="B13" s="85" t="str">
        <f t="shared" ref="B13:B17" si="2">IF(A13 &gt; 50000, "Diamante", IF(A13 &gt; 30000, "Platino", "Sin categoría"))</f>
        <v>Platino</v>
      </c>
      <c r="C13" s="81"/>
    </row>
    <row r="14">
      <c r="A14" s="79">
        <v>30800.0</v>
      </c>
      <c r="B14" s="86" t="str">
        <f t="shared" si="2"/>
        <v>Platino</v>
      </c>
    </row>
    <row r="15">
      <c r="A15" s="84">
        <v>12500.0</v>
      </c>
      <c r="B15" s="85" t="str">
        <f t="shared" si="2"/>
        <v>Sin categoría</v>
      </c>
    </row>
    <row r="16">
      <c r="A16" s="79">
        <v>4600.0</v>
      </c>
      <c r="B16" s="86" t="str">
        <f t="shared" si="2"/>
        <v>Sin categoría</v>
      </c>
    </row>
    <row r="17">
      <c r="A17" s="84">
        <v>85700.0</v>
      </c>
      <c r="B17" s="85" t="str">
        <f t="shared" si="2"/>
        <v>Diamante</v>
      </c>
    </row>
    <row r="18" ht="58.5" customHeight="1">
      <c r="A18" s="81" t="s">
        <v>96</v>
      </c>
      <c r="C18" s="81"/>
      <c r="D18" s="81"/>
      <c r="E18" s="81"/>
      <c r="F18" s="81"/>
    </row>
    <row r="19">
      <c r="A19" s="81"/>
      <c r="B19" s="81"/>
      <c r="C19" s="81"/>
      <c r="D19" s="81"/>
      <c r="E19" s="81"/>
      <c r="F19" s="81"/>
    </row>
    <row r="20">
      <c r="A20" s="81"/>
      <c r="B20" s="81"/>
      <c r="C20" s="81"/>
      <c r="D20" s="81"/>
      <c r="E20" s="81"/>
      <c r="F20" s="81"/>
    </row>
    <row r="21">
      <c r="A21" s="81"/>
      <c r="B21" s="81"/>
      <c r="C21" s="81"/>
      <c r="D21" s="81"/>
      <c r="E21" s="81"/>
      <c r="F21" s="81"/>
    </row>
    <row r="22">
      <c r="A22" s="81"/>
      <c r="B22" s="81"/>
      <c r="C22" s="81"/>
      <c r="D22" s="81"/>
      <c r="E22" s="81"/>
      <c r="F22" s="81"/>
    </row>
  </sheetData>
  <mergeCells count="14">
    <mergeCell ref="A1:H1"/>
    <mergeCell ref="B2:H2"/>
    <mergeCell ref="E3:H3"/>
    <mergeCell ref="E4:H4"/>
    <mergeCell ref="E5:H5"/>
    <mergeCell ref="E6:H6"/>
    <mergeCell ref="E8:H8"/>
    <mergeCell ref="E9:H9"/>
    <mergeCell ref="A10:B10"/>
    <mergeCell ref="E7:H7"/>
    <mergeCell ref="D10:I10"/>
    <mergeCell ref="D11:H12"/>
    <mergeCell ref="C13:H17"/>
    <mergeCell ref="A18:B1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2026-04-10T01:37:09Z</dcterms:created>
  <dc:creator>perlita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2017-04-04T00:00:00Z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2026-04-10T00:00:00Z</vt:filetime>
  </property>
  <property fmtid="{D5CDD505-2E9C-101B-9397-08002B2CF9AE}" pid="5" name="Producer">
    <vt:lpwstr>Microsoft® Office Excel® 2007</vt:lpwstr>
  </property>
</Properties>
</file>